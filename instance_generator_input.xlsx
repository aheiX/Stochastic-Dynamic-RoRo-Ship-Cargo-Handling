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ne.heinold\Lokale Dokumente\Python RoRo 5G\"/>
    </mc:Choice>
  </mc:AlternateContent>
  <xr:revisionPtr revIDLastSave="0" documentId="13_ncr:1_{FDA74C2E-9D2D-4C19-B50C-2774DBE6CF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stances" sheetId="5" r:id="rId1"/>
    <sheet name="Kiel" sheetId="11" r:id="rId2"/>
    <sheet name="times_default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7" i="11" l="1"/>
  <c r="BR7" i="11"/>
  <c r="BQ7" i="11"/>
  <c r="BP7" i="11"/>
  <c r="BT7" i="11" l="1"/>
  <c r="BH11" i="11"/>
  <c r="BI11" i="11" s="1"/>
  <c r="BJ11" i="11" s="1"/>
  <c r="AW11" i="11"/>
  <c r="AX11" i="11" s="1"/>
  <c r="AY11" i="11" s="1"/>
  <c r="AU13" i="11"/>
  <c r="BF13" i="11"/>
  <c r="BF14" i="11" s="1"/>
  <c r="BF15" i="11" s="1"/>
  <c r="BF16" i="11" s="1"/>
  <c r="BF17" i="11" s="1"/>
  <c r="BF18" i="11" s="1"/>
  <c r="BF19" i="11" s="1"/>
  <c r="BF20" i="11" s="1"/>
  <c r="BF21" i="11" s="1"/>
  <c r="BF22" i="11" s="1"/>
  <c r="AJ13" i="11"/>
  <c r="AJ14" i="11" s="1"/>
  <c r="AJ15" i="11" s="1"/>
  <c r="AJ16" i="11" s="1"/>
  <c r="AJ17" i="11" s="1"/>
  <c r="AJ18" i="11" s="1"/>
  <c r="AJ19" i="11" s="1"/>
  <c r="AJ20" i="11" s="1"/>
  <c r="AJ21" i="11" s="1"/>
  <c r="AJ22" i="11" s="1"/>
  <c r="C13" i="1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AL11" i="11"/>
  <c r="AM11" i="11" s="1"/>
  <c r="AN11" i="11" s="1"/>
  <c r="E11" i="1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AU14" i="11" l="1"/>
  <c r="AU15" i="11" s="1"/>
  <c r="AU16" i="11" s="1"/>
  <c r="AU17" i="11" s="1"/>
  <c r="AU18" i="11" s="1"/>
  <c r="AU19" i="11" s="1"/>
  <c r="AU20" i="11" s="1"/>
  <c r="AU21" i="11" s="1"/>
  <c r="AU22" i="11" s="1"/>
  <c r="BR6" i="11"/>
  <c r="BS6" i="11"/>
  <c r="BQ6" i="11"/>
  <c r="BP6" i="11"/>
  <c r="BT6" i="11" l="1"/>
</calcChain>
</file>

<file path=xl/sharedStrings.xml><?xml version="1.0" encoding="utf-8"?>
<sst xmlns="http://schemas.openxmlformats.org/spreadsheetml/2006/main" count="948" uniqueCount="75">
  <si>
    <t>name</t>
  </si>
  <si>
    <t>number_of_tugs</t>
  </si>
  <si>
    <t>data_availability_level</t>
  </si>
  <si>
    <t>id</t>
  </si>
  <si>
    <t>process_times</t>
  </si>
  <si>
    <t>U</t>
  </si>
  <si>
    <t>A</t>
  </si>
  <si>
    <t>X</t>
  </si>
  <si>
    <t>source</t>
  </si>
  <si>
    <t>target</t>
  </si>
  <si>
    <t>process_type</t>
  </si>
  <si>
    <t>description</t>
  </si>
  <si>
    <t>mean</t>
  </si>
  <si>
    <t>Depot-Entry</t>
  </si>
  <si>
    <t>area change</t>
  </si>
  <si>
    <t>time required (in sec)</t>
  </si>
  <si>
    <t>Port-Exit</t>
  </si>
  <si>
    <t>Port-Entry</t>
  </si>
  <si>
    <t>Depot-Exit</t>
  </si>
  <si>
    <t>gate operation</t>
  </si>
  <si>
    <t>handling aCargo source</t>
  </si>
  <si>
    <t>handling aCargo target</t>
  </si>
  <si>
    <t>Depot</t>
  </si>
  <si>
    <t>handling tug-only source</t>
  </si>
  <si>
    <t>handling tug-only target</t>
  </si>
  <si>
    <t>moving</t>
  </si>
  <si>
    <t>times_default</t>
  </si>
  <si>
    <t>RL</t>
  </si>
  <si>
    <t>RM</t>
  </si>
  <si>
    <t>position suitable for unaccompanied cargo</t>
  </si>
  <si>
    <t>position suitable for accompanied cargo</t>
  </si>
  <si>
    <t>position suitable for both cargo types</t>
  </si>
  <si>
    <t>Terminal</t>
  </si>
  <si>
    <t>lower deck (0)</t>
  </si>
  <si>
    <t xml:space="preserve">main deck (1) </t>
  </si>
  <si>
    <t>terminal_ship_layout</t>
  </si>
  <si>
    <t>terminal_lanes</t>
  </si>
  <si>
    <t>terminal_rows</t>
  </si>
  <si>
    <t>upper deck (2)</t>
  </si>
  <si>
    <t>terminal</t>
  </si>
  <si>
    <t>ramp to terminal</t>
  </si>
  <si>
    <t>ship_lanes</t>
  </si>
  <si>
    <t>ship_rows</t>
  </si>
  <si>
    <t>AU</t>
  </si>
  <si>
    <t>movable ramp to the lower deck within the main deck (treated as AU)</t>
  </si>
  <si>
    <t>Ship-Exit</t>
  </si>
  <si>
    <t>Ship-Entry</t>
  </si>
  <si>
    <t>Ship</t>
  </si>
  <si>
    <t>coupling</t>
  </si>
  <si>
    <t>decoupling</t>
  </si>
  <si>
    <t>Terminal-Exit</t>
  </si>
  <si>
    <t>Terminal-Entry</t>
  </si>
  <si>
    <t>movable ramp to the main deck within the lower deck (keep empty)</t>
  </si>
  <si>
    <t>barrier (e.g., pillars or ramp)</t>
  </si>
  <si>
    <t>pathway (e.g., driving lane)</t>
  </si>
  <si>
    <t># positions</t>
  </si>
  <si>
    <t>ship</t>
  </si>
  <si>
    <t>Sum</t>
  </si>
  <si>
    <t>parameter</t>
  </si>
  <si>
    <t>value</t>
  </si>
  <si>
    <t>moving_delay</t>
  </si>
  <si>
    <t>speed (in kmh)</t>
  </si>
  <si>
    <t>random</t>
  </si>
  <si>
    <t>cargo_positions_ship</t>
  </si>
  <si>
    <t>Kiel</t>
  </si>
  <si>
    <t>balanced</t>
  </si>
  <si>
    <t>surplus_DC</t>
  </si>
  <si>
    <t>surplus_TC</t>
  </si>
  <si>
    <t>ship_DC</t>
  </si>
  <si>
    <t>ship_TC</t>
  </si>
  <si>
    <t>terminal_DC</t>
  </si>
  <si>
    <t>terminal_TC</t>
  </si>
  <si>
    <t>terminal_late_DC_prob</t>
  </si>
  <si>
    <t>terminal_late_DC_avg_sec</t>
  </si>
  <si>
    <t>terminal_late_DC_std_sec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</si>
</sst>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2" fillId="0" borderId="5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15" fontId="0" fillId="0" borderId="5" xfId="0" applyNumberFormat="1" applyBorder="1"/>
    <xf numFmtId="0" fontId="3" fillId="0" borderId="4" xfId="0" applyFont="1" applyBorder="1" applyAlignment="1">
      <alignment horizontal="center" vertical="center"/>
    </xf>
    <xf numFmtId="0" fontId="0" fillId="3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G9" sqref="G9"/>
    </sheetView>
  </sheetViews>
  <sheetFormatPr defaultColWidth="10.90625" defaultRowHeight="14.5" x14ac:dyDescent="0.35"/>
  <cols>
    <col min="1" max="1" width="2.7265625" bestFit="1" customWidth="1"/>
    <col min="2" max="2" width="25.81640625" customWidth="1"/>
    <col min="3" max="3" width="16.1796875" bestFit="1" customWidth="1"/>
    <col min="4" max="4" width="13.7265625" bestFit="1" customWidth="1"/>
    <col min="5" max="5" width="15.54296875" bestFit="1" customWidth="1"/>
    <col min="6" max="6" width="22.1796875" bestFit="1" customWidth="1"/>
    <col min="7" max="7" width="16.7265625" bestFit="1" customWidth="1"/>
    <col min="8" max="8" width="17" bestFit="1" customWidth="1"/>
    <col min="9" max="9" width="15.54296875" bestFit="1" customWidth="1"/>
    <col min="10" max="10" width="15.7265625" bestFit="1" customWidth="1"/>
    <col min="11" max="11" width="25.453125" bestFit="1" customWidth="1"/>
    <col min="12" max="12" width="28.26953125" bestFit="1" customWidth="1"/>
    <col min="13" max="13" width="28" bestFit="1" customWidth="1"/>
  </cols>
  <sheetData>
    <row r="1" spans="1:13" x14ac:dyDescent="0.35">
      <c r="A1" s="1" t="s">
        <v>3</v>
      </c>
      <c r="B1" s="1" t="s">
        <v>0</v>
      </c>
      <c r="C1" s="1" t="s">
        <v>35</v>
      </c>
      <c r="D1" s="1" t="s">
        <v>4</v>
      </c>
      <c r="E1" s="1" t="s">
        <v>1</v>
      </c>
      <c r="F1" s="1" t="s">
        <v>63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 x14ac:dyDescent="0.35">
      <c r="A2">
        <v>1</v>
      </c>
      <c r="B2" t="s">
        <v>65</v>
      </c>
      <c r="C2" t="s">
        <v>64</v>
      </c>
      <c r="D2" t="s">
        <v>26</v>
      </c>
      <c r="E2">
        <v>6</v>
      </c>
      <c r="F2" t="s">
        <v>62</v>
      </c>
      <c r="G2">
        <v>115</v>
      </c>
      <c r="H2">
        <v>116</v>
      </c>
      <c r="I2">
        <v>115</v>
      </c>
      <c r="J2">
        <v>116</v>
      </c>
      <c r="K2">
        <v>0.7</v>
      </c>
      <c r="L2">
        <v>1800</v>
      </c>
      <c r="M2">
        <v>900</v>
      </c>
    </row>
    <row r="3" spans="1:13" x14ac:dyDescent="0.35">
      <c r="A3">
        <v>2</v>
      </c>
      <c r="B3" t="s">
        <v>67</v>
      </c>
      <c r="C3" t="s">
        <v>64</v>
      </c>
      <c r="D3" t="s">
        <v>26</v>
      </c>
      <c r="E3">
        <v>6</v>
      </c>
      <c r="F3" t="s">
        <v>62</v>
      </c>
      <c r="G3">
        <v>81</v>
      </c>
      <c r="H3">
        <v>150</v>
      </c>
      <c r="I3">
        <v>81</v>
      </c>
      <c r="J3">
        <v>150</v>
      </c>
      <c r="K3">
        <v>0.7</v>
      </c>
      <c r="L3">
        <v>1800</v>
      </c>
      <c r="M3">
        <v>900</v>
      </c>
    </row>
    <row r="4" spans="1:13" x14ac:dyDescent="0.35">
      <c r="A4">
        <v>3</v>
      </c>
      <c r="B4" t="s">
        <v>66</v>
      </c>
      <c r="C4" t="s">
        <v>64</v>
      </c>
      <c r="D4" t="s">
        <v>26</v>
      </c>
      <c r="E4">
        <v>6</v>
      </c>
      <c r="F4" t="s">
        <v>62</v>
      </c>
      <c r="G4">
        <v>150</v>
      </c>
      <c r="H4">
        <v>81</v>
      </c>
      <c r="I4">
        <v>150</v>
      </c>
      <c r="J4">
        <v>81</v>
      </c>
      <c r="K4">
        <v>0.7</v>
      </c>
      <c r="L4">
        <v>1800</v>
      </c>
      <c r="M4">
        <v>900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36"/>
  <sheetViews>
    <sheetView zoomScale="85" zoomScaleNormal="85" workbookViewId="0">
      <selection activeCell="X12" sqref="X12:AG23"/>
    </sheetView>
  </sheetViews>
  <sheetFormatPr defaultColWidth="10.90625" defaultRowHeight="14.5" x14ac:dyDescent="0.35"/>
  <cols>
    <col min="1" max="1" width="17.81640625" style="4" bestFit="1" customWidth="1"/>
    <col min="2" max="2" width="5.81640625" style="4" bestFit="1" customWidth="1"/>
    <col min="3" max="3" width="3.81640625" customWidth="1"/>
    <col min="4" max="4" width="4.453125" bestFit="1" customWidth="1"/>
    <col min="5" max="33" width="3.81640625" customWidth="1"/>
    <col min="34" max="35" width="3.81640625" style="4" customWidth="1"/>
    <col min="36" max="44" width="3.81640625" customWidth="1"/>
    <col min="45" max="46" width="3.81640625" style="4" customWidth="1"/>
    <col min="47" max="55" width="3.81640625" customWidth="1"/>
    <col min="56" max="57" width="3.81640625" style="4" customWidth="1"/>
    <col min="58" max="66" width="3.81640625" customWidth="1"/>
  </cols>
  <sheetData>
    <row r="1" spans="1:72" x14ac:dyDescent="0.35">
      <c r="A1" s="3" t="s">
        <v>58</v>
      </c>
      <c r="B1" s="3" t="s">
        <v>59</v>
      </c>
      <c r="C1" s="2"/>
    </row>
    <row r="2" spans="1:72" x14ac:dyDescent="0.35">
      <c r="A2" t="s">
        <v>36</v>
      </c>
      <c r="B2" s="2">
        <v>30</v>
      </c>
      <c r="D2" s="6" t="s">
        <v>6</v>
      </c>
      <c r="E2" t="s">
        <v>30</v>
      </c>
    </row>
    <row r="3" spans="1:72" x14ac:dyDescent="0.35">
      <c r="A3" t="s">
        <v>37</v>
      </c>
      <c r="B3" s="2">
        <v>25</v>
      </c>
      <c r="D3" s="7" t="s">
        <v>5</v>
      </c>
      <c r="E3" t="s">
        <v>29</v>
      </c>
    </row>
    <row r="4" spans="1:72" x14ac:dyDescent="0.35">
      <c r="A4" t="s">
        <v>41</v>
      </c>
      <c r="B4" s="2">
        <v>8</v>
      </c>
      <c r="D4" s="7" t="s">
        <v>43</v>
      </c>
      <c r="E4" t="s">
        <v>31</v>
      </c>
      <c r="BO4" t="s">
        <v>55</v>
      </c>
    </row>
    <row r="5" spans="1:72" x14ac:dyDescent="0.35">
      <c r="A5" t="s">
        <v>42</v>
      </c>
      <c r="B5" s="2">
        <v>12</v>
      </c>
      <c r="D5" s="8" t="s">
        <v>27</v>
      </c>
      <c r="E5" t="s">
        <v>52</v>
      </c>
      <c r="BP5" t="s">
        <v>6</v>
      </c>
      <c r="BQ5" t="s">
        <v>5</v>
      </c>
      <c r="BR5" t="s">
        <v>43</v>
      </c>
      <c r="BS5" t="s">
        <v>28</v>
      </c>
      <c r="BT5" t="s">
        <v>57</v>
      </c>
    </row>
    <row r="6" spans="1:72" x14ac:dyDescent="0.35">
      <c r="A6"/>
      <c r="B6"/>
      <c r="D6" s="8" t="s">
        <v>28</v>
      </c>
      <c r="E6" t="s">
        <v>44</v>
      </c>
      <c r="BO6" t="s">
        <v>56</v>
      </c>
      <c r="BP6">
        <f>COUNTIF($AK$12:$BN$23,BP5)</f>
        <v>0</v>
      </c>
      <c r="BQ6">
        <f>COUNTIF($AK$12:$BN$23,BQ5)</f>
        <v>0</v>
      </c>
      <c r="BR6">
        <f>COUNTIF($AK$12:$BN$23,BR5)</f>
        <v>227</v>
      </c>
      <c r="BS6">
        <f>COUNTIF($AK$12:$BN$23,BS5)</f>
        <v>4</v>
      </c>
      <c r="BT6">
        <f>SUM(BP6:BS6)</f>
        <v>231</v>
      </c>
    </row>
    <row r="7" spans="1:72" x14ac:dyDescent="0.35">
      <c r="A7"/>
      <c r="B7"/>
      <c r="D7" s="8" t="s">
        <v>7</v>
      </c>
      <c r="E7" t="s">
        <v>53</v>
      </c>
      <c r="BO7" t="s">
        <v>39</v>
      </c>
      <c r="BP7">
        <f>COUNTIF($D$12:$AG$36,BP5)</f>
        <v>120</v>
      </c>
      <c r="BQ7">
        <f t="shared" ref="BQ7:BS7" si="0">COUNTIF($D$12:$AG$36,BQ5)</f>
        <v>300</v>
      </c>
      <c r="BR7">
        <f t="shared" si="0"/>
        <v>0</v>
      </c>
      <c r="BS7">
        <f t="shared" si="0"/>
        <v>0</v>
      </c>
      <c r="BT7">
        <f>SUM(BP7:BS7)</f>
        <v>420</v>
      </c>
    </row>
    <row r="8" spans="1:72" x14ac:dyDescent="0.35">
      <c r="A8"/>
      <c r="B8"/>
      <c r="D8" s="9"/>
      <c r="E8" t="s">
        <v>54</v>
      </c>
    </row>
    <row r="10" spans="1:72" x14ac:dyDescent="0.35">
      <c r="C10" s="3" t="s">
        <v>39</v>
      </c>
      <c r="AJ10" s="3" t="s">
        <v>33</v>
      </c>
      <c r="AU10" s="3" t="s">
        <v>34</v>
      </c>
      <c r="BD10" s="5"/>
      <c r="BE10" s="5"/>
      <c r="BF10" s="3" t="s">
        <v>38</v>
      </c>
    </row>
    <row r="11" spans="1:72" x14ac:dyDescent="0.35">
      <c r="C11" s="15"/>
      <c r="D11" s="10">
        <v>1</v>
      </c>
      <c r="E11" s="10">
        <f t="shared" ref="E11:H11" si="1">D11+1</f>
        <v>2</v>
      </c>
      <c r="F11" s="10">
        <f t="shared" si="1"/>
        <v>3</v>
      </c>
      <c r="G11" s="10">
        <f t="shared" si="1"/>
        <v>4</v>
      </c>
      <c r="H11" s="10">
        <f t="shared" si="1"/>
        <v>5</v>
      </c>
      <c r="I11" s="10">
        <f t="shared" ref="I11" si="2">H11+1</f>
        <v>6</v>
      </c>
      <c r="J11" s="10">
        <f t="shared" ref="J11" si="3">I11+1</f>
        <v>7</v>
      </c>
      <c r="K11" s="10">
        <f t="shared" ref="K11" si="4">J11+1</f>
        <v>8</v>
      </c>
      <c r="L11" s="10">
        <f t="shared" ref="L11" si="5">K11+1</f>
        <v>9</v>
      </c>
      <c r="M11" s="10">
        <f t="shared" ref="M11" si="6">L11+1</f>
        <v>10</v>
      </c>
      <c r="N11" s="10">
        <f t="shared" ref="N11" si="7">M11+1</f>
        <v>11</v>
      </c>
      <c r="O11" s="10">
        <f t="shared" ref="O11" si="8">N11+1</f>
        <v>12</v>
      </c>
      <c r="P11" s="10">
        <f t="shared" ref="P11" si="9">O11+1</f>
        <v>13</v>
      </c>
      <c r="Q11" s="10">
        <f t="shared" ref="Q11" si="10">P11+1</f>
        <v>14</v>
      </c>
      <c r="R11" s="10">
        <f t="shared" ref="R11" si="11">Q11+1</f>
        <v>15</v>
      </c>
      <c r="S11" s="10">
        <f t="shared" ref="S11" si="12">R11+1</f>
        <v>16</v>
      </c>
      <c r="T11" s="10">
        <f t="shared" ref="T11" si="13">S11+1</f>
        <v>17</v>
      </c>
      <c r="U11" s="10">
        <f t="shared" ref="U11" si="14">T11+1</f>
        <v>18</v>
      </c>
      <c r="V11" s="10">
        <f t="shared" ref="V11" si="15">U11+1</f>
        <v>19</v>
      </c>
      <c r="W11" s="10">
        <f t="shared" ref="W11" si="16">V11+1</f>
        <v>20</v>
      </c>
      <c r="X11" s="10">
        <f t="shared" ref="X11" si="17">W11+1</f>
        <v>21</v>
      </c>
      <c r="Y11" s="10">
        <f t="shared" ref="Y11" si="18">X11+1</f>
        <v>22</v>
      </c>
      <c r="Z11" s="10">
        <f t="shared" ref="Z11" si="19">Y11+1</f>
        <v>23</v>
      </c>
      <c r="AA11" s="10">
        <f t="shared" ref="AA11" si="20">Z11+1</f>
        <v>24</v>
      </c>
      <c r="AB11" s="10">
        <f t="shared" ref="AB11" si="21">AA11+1</f>
        <v>25</v>
      </c>
      <c r="AC11" s="10">
        <f t="shared" ref="AC11" si="22">AB11+1</f>
        <v>26</v>
      </c>
      <c r="AD11" s="10">
        <f t="shared" ref="AD11" si="23">AC11+1</f>
        <v>27</v>
      </c>
      <c r="AE11" s="10">
        <f t="shared" ref="AE11" si="24">AD11+1</f>
        <v>28</v>
      </c>
      <c r="AF11" s="10">
        <f t="shared" ref="AF11" si="25">AE11+1</f>
        <v>29</v>
      </c>
      <c r="AG11" s="11">
        <f t="shared" ref="AG11" si="26">AF11+1</f>
        <v>30</v>
      </c>
      <c r="AJ11" s="15"/>
      <c r="AK11" s="16">
        <v>1</v>
      </c>
      <c r="AL11" s="16">
        <f>AK11+1</f>
        <v>2</v>
      </c>
      <c r="AM11" s="16">
        <f t="shared" ref="AM11:AN11" si="27">AL11+1</f>
        <v>3</v>
      </c>
      <c r="AN11" s="16">
        <f t="shared" si="27"/>
        <v>4</v>
      </c>
      <c r="AO11" s="16">
        <v>5</v>
      </c>
      <c r="AP11" s="16">
        <v>6</v>
      </c>
      <c r="AQ11" s="16">
        <v>7</v>
      </c>
      <c r="AR11" s="17">
        <v>8</v>
      </c>
      <c r="AU11" s="15"/>
      <c r="AV11" s="16">
        <v>1</v>
      </c>
      <c r="AW11" s="16">
        <f>AV11+1</f>
        <v>2</v>
      </c>
      <c r="AX11" s="16">
        <f t="shared" ref="AX11" si="28">AW11+1</f>
        <v>3</v>
      </c>
      <c r="AY11" s="16">
        <f t="shared" ref="AY11" si="29">AX11+1</f>
        <v>4</v>
      </c>
      <c r="AZ11" s="16">
        <v>5</v>
      </c>
      <c r="BA11" s="16">
        <v>6</v>
      </c>
      <c r="BB11" s="16">
        <v>7</v>
      </c>
      <c r="BC11" s="17">
        <v>8</v>
      </c>
      <c r="BF11" s="15"/>
      <c r="BG11" s="10">
        <v>1</v>
      </c>
      <c r="BH11" s="10">
        <f>BG11+1</f>
        <v>2</v>
      </c>
      <c r="BI11" s="10">
        <f t="shared" ref="BI11" si="30">BH11+1</f>
        <v>3</v>
      </c>
      <c r="BJ11" s="10">
        <f t="shared" ref="BJ11" si="31">BI11+1</f>
        <v>4</v>
      </c>
      <c r="BK11" s="10">
        <v>5</v>
      </c>
      <c r="BL11" s="10">
        <v>6</v>
      </c>
      <c r="BM11" s="10">
        <v>7</v>
      </c>
      <c r="BN11" s="11">
        <v>8</v>
      </c>
    </row>
    <row r="12" spans="1:72" x14ac:dyDescent="0.35">
      <c r="C12" s="12">
        <v>1</v>
      </c>
      <c r="D12" s="13" t="s">
        <v>5</v>
      </c>
      <c r="E12" s="20"/>
      <c r="F12" s="13" t="s">
        <v>5</v>
      </c>
      <c r="G12" s="13" t="s">
        <v>5</v>
      </c>
      <c r="H12" s="20"/>
      <c r="I12" s="13" t="s">
        <v>5</v>
      </c>
      <c r="J12" s="13" t="s">
        <v>5</v>
      </c>
      <c r="K12" s="20"/>
      <c r="L12" s="13" t="s">
        <v>5</v>
      </c>
      <c r="M12" s="13" t="s">
        <v>5</v>
      </c>
      <c r="N12" s="13"/>
      <c r="O12" s="13" t="s">
        <v>5</v>
      </c>
      <c r="P12" s="13" t="s">
        <v>5</v>
      </c>
      <c r="Q12" s="13"/>
      <c r="R12" s="13" t="s">
        <v>5</v>
      </c>
      <c r="S12" s="13" t="s">
        <v>5</v>
      </c>
      <c r="T12" s="20"/>
      <c r="U12" s="13" t="s">
        <v>5</v>
      </c>
      <c r="V12" s="13"/>
      <c r="W12" s="20"/>
      <c r="X12" s="13" t="s">
        <v>6</v>
      </c>
      <c r="Y12" s="13" t="s">
        <v>6</v>
      </c>
      <c r="Z12" s="13" t="s">
        <v>6</v>
      </c>
      <c r="AA12" s="13" t="s">
        <v>6</v>
      </c>
      <c r="AB12" s="13" t="s">
        <v>6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J12" s="18">
        <v>1</v>
      </c>
      <c r="AK12" s="9" t="s">
        <v>43</v>
      </c>
      <c r="AL12" s="9" t="s">
        <v>43</v>
      </c>
      <c r="AM12" s="9" t="s">
        <v>43</v>
      </c>
      <c r="AN12" s="9" t="s">
        <v>43</v>
      </c>
      <c r="AO12" s="9" t="s">
        <v>43</v>
      </c>
      <c r="AP12" s="9" t="s">
        <v>43</v>
      </c>
      <c r="AQ12" s="9" t="s">
        <v>43</v>
      </c>
      <c r="AR12" s="9" t="s">
        <v>43</v>
      </c>
      <c r="AU12" s="18">
        <v>1</v>
      </c>
      <c r="AV12" s="9" t="s">
        <v>43</v>
      </c>
      <c r="AW12" s="9" t="s">
        <v>43</v>
      </c>
      <c r="AX12" s="9" t="s">
        <v>43</v>
      </c>
      <c r="AY12" s="9" t="s">
        <v>43</v>
      </c>
      <c r="AZ12" s="9" t="s">
        <v>43</v>
      </c>
      <c r="BA12" s="9" t="s">
        <v>43</v>
      </c>
      <c r="BB12" s="9" t="s">
        <v>43</v>
      </c>
      <c r="BC12" s="9" t="s">
        <v>43</v>
      </c>
      <c r="BF12" s="18">
        <v>1</v>
      </c>
      <c r="BG12" s="8" t="s">
        <v>7</v>
      </c>
      <c r="BH12" s="8" t="s">
        <v>7</v>
      </c>
      <c r="BI12" s="8" t="s">
        <v>7</v>
      </c>
      <c r="BJ12" s="8" t="s">
        <v>7</v>
      </c>
      <c r="BK12" s="8" t="s">
        <v>7</v>
      </c>
      <c r="BL12" s="8" t="s">
        <v>7</v>
      </c>
      <c r="BM12" s="8" t="s">
        <v>7</v>
      </c>
      <c r="BN12" s="8" t="s">
        <v>7</v>
      </c>
    </row>
    <row r="13" spans="1:72" x14ac:dyDescent="0.35">
      <c r="C13" s="12">
        <f t="shared" ref="C13:C36" si="32">C12+1</f>
        <v>2</v>
      </c>
      <c r="D13" s="13" t="s">
        <v>5</v>
      </c>
      <c r="E13" s="20"/>
      <c r="F13" s="13" t="s">
        <v>5</v>
      </c>
      <c r="G13" s="13" t="s">
        <v>5</v>
      </c>
      <c r="H13" s="20"/>
      <c r="I13" s="13" t="s">
        <v>5</v>
      </c>
      <c r="J13" s="13" t="s">
        <v>5</v>
      </c>
      <c r="K13" s="20"/>
      <c r="L13" s="13" t="s">
        <v>5</v>
      </c>
      <c r="M13" s="13" t="s">
        <v>5</v>
      </c>
      <c r="N13" s="13"/>
      <c r="O13" s="13" t="s">
        <v>5</v>
      </c>
      <c r="P13" s="13" t="s">
        <v>5</v>
      </c>
      <c r="Q13" s="13"/>
      <c r="R13" s="13" t="s">
        <v>5</v>
      </c>
      <c r="S13" s="13" t="s">
        <v>5</v>
      </c>
      <c r="T13" s="20"/>
      <c r="U13" s="13" t="s">
        <v>5</v>
      </c>
      <c r="V13" s="13"/>
      <c r="W13" s="20"/>
      <c r="X13" s="13" t="s">
        <v>6</v>
      </c>
      <c r="Y13" s="13" t="s">
        <v>6</v>
      </c>
      <c r="Z13" s="13" t="s">
        <v>6</v>
      </c>
      <c r="AA13" s="13" t="s">
        <v>6</v>
      </c>
      <c r="AB13" s="13" t="s">
        <v>6</v>
      </c>
      <c r="AC13" s="13" t="s">
        <v>6</v>
      </c>
      <c r="AD13" s="13" t="s">
        <v>6</v>
      </c>
      <c r="AE13" s="13" t="s">
        <v>6</v>
      </c>
      <c r="AF13" s="13" t="s">
        <v>6</v>
      </c>
      <c r="AG13" s="13" t="s">
        <v>6</v>
      </c>
      <c r="AJ13" s="18">
        <f t="shared" ref="AJ13:AJ22" si="33">AJ12+1</f>
        <v>2</v>
      </c>
      <c r="AK13" s="9" t="s">
        <v>43</v>
      </c>
      <c r="AL13" s="9" t="s">
        <v>43</v>
      </c>
      <c r="AM13" s="9" t="s">
        <v>43</v>
      </c>
      <c r="AN13" s="9" t="s">
        <v>43</v>
      </c>
      <c r="AO13" s="9" t="s">
        <v>43</v>
      </c>
      <c r="AP13" s="9" t="s">
        <v>43</v>
      </c>
      <c r="AQ13" s="9" t="s">
        <v>43</v>
      </c>
      <c r="AR13" s="9" t="s">
        <v>43</v>
      </c>
      <c r="AU13" s="18">
        <f t="shared" ref="AU13:AU22" si="34">AU12+1</f>
        <v>2</v>
      </c>
      <c r="AV13" s="9" t="s">
        <v>43</v>
      </c>
      <c r="AW13" s="9" t="s">
        <v>43</v>
      </c>
      <c r="AX13" s="9" t="s">
        <v>43</v>
      </c>
      <c r="AY13" s="9" t="s">
        <v>43</v>
      </c>
      <c r="AZ13" s="9" t="s">
        <v>43</v>
      </c>
      <c r="BA13" s="9" t="s">
        <v>43</v>
      </c>
      <c r="BB13" s="9" t="s">
        <v>43</v>
      </c>
      <c r="BC13" s="9" t="s">
        <v>43</v>
      </c>
      <c r="BF13" s="18">
        <f t="shared" ref="BF13:BF22" si="35">BF12+1</f>
        <v>2</v>
      </c>
      <c r="BG13" s="8" t="s">
        <v>7</v>
      </c>
      <c r="BH13" s="8" t="s">
        <v>7</v>
      </c>
      <c r="BI13" s="8" t="s">
        <v>7</v>
      </c>
      <c r="BJ13" s="8" t="s">
        <v>7</v>
      </c>
      <c r="BK13" s="8" t="s">
        <v>7</v>
      </c>
      <c r="BL13" s="8" t="s">
        <v>7</v>
      </c>
      <c r="BM13" s="8" t="s">
        <v>7</v>
      </c>
      <c r="BN13" s="8" t="s">
        <v>7</v>
      </c>
    </row>
    <row r="14" spans="1:72" x14ac:dyDescent="0.35">
      <c r="C14" s="12">
        <f t="shared" si="32"/>
        <v>3</v>
      </c>
      <c r="D14" s="13" t="s">
        <v>5</v>
      </c>
      <c r="E14" s="20"/>
      <c r="F14" s="13" t="s">
        <v>5</v>
      </c>
      <c r="G14" s="13" t="s">
        <v>5</v>
      </c>
      <c r="H14" s="20"/>
      <c r="I14" s="13" t="s">
        <v>5</v>
      </c>
      <c r="J14" s="13" t="s">
        <v>5</v>
      </c>
      <c r="K14" s="20"/>
      <c r="L14" s="13" t="s">
        <v>5</v>
      </c>
      <c r="M14" s="13" t="s">
        <v>5</v>
      </c>
      <c r="N14" s="13"/>
      <c r="O14" s="13" t="s">
        <v>5</v>
      </c>
      <c r="P14" s="13" t="s">
        <v>5</v>
      </c>
      <c r="Q14" s="13"/>
      <c r="R14" s="13" t="s">
        <v>5</v>
      </c>
      <c r="S14" s="13" t="s">
        <v>5</v>
      </c>
      <c r="T14" s="20"/>
      <c r="U14" s="13" t="s">
        <v>5</v>
      </c>
      <c r="V14" s="13"/>
      <c r="W14" s="20"/>
      <c r="X14" s="13" t="s">
        <v>6</v>
      </c>
      <c r="Y14" s="13" t="s">
        <v>6</v>
      </c>
      <c r="Z14" s="13" t="s">
        <v>6</v>
      </c>
      <c r="AA14" s="13" t="s">
        <v>6</v>
      </c>
      <c r="AB14" s="13" t="s">
        <v>6</v>
      </c>
      <c r="AC14" s="13" t="s">
        <v>6</v>
      </c>
      <c r="AD14" s="13" t="s">
        <v>6</v>
      </c>
      <c r="AE14" s="13" t="s">
        <v>6</v>
      </c>
      <c r="AF14" s="13" t="s">
        <v>6</v>
      </c>
      <c r="AG14" s="13" t="s">
        <v>6</v>
      </c>
      <c r="AJ14" s="18">
        <f t="shared" si="33"/>
        <v>3</v>
      </c>
      <c r="AK14" s="9"/>
      <c r="AL14" s="9"/>
      <c r="AM14" s="9"/>
      <c r="AN14" s="9"/>
      <c r="AO14" s="22" t="s">
        <v>27</v>
      </c>
      <c r="AP14" s="22" t="s">
        <v>27</v>
      </c>
      <c r="AQ14" s="9"/>
      <c r="AR14" s="9"/>
      <c r="AU14" s="18">
        <f t="shared" si="34"/>
        <v>3</v>
      </c>
      <c r="AV14" s="9"/>
      <c r="AW14" s="9" t="s">
        <v>43</v>
      </c>
      <c r="AX14" s="9" t="s">
        <v>43</v>
      </c>
      <c r="AY14" s="9" t="s">
        <v>43</v>
      </c>
      <c r="AZ14" s="22" t="s">
        <v>28</v>
      </c>
      <c r="BA14" s="22" t="s">
        <v>28</v>
      </c>
      <c r="BB14" s="9" t="s">
        <v>43</v>
      </c>
      <c r="BC14" s="9" t="s">
        <v>43</v>
      </c>
      <c r="BF14" s="18">
        <f t="shared" si="35"/>
        <v>3</v>
      </c>
      <c r="BG14" s="8" t="s">
        <v>7</v>
      </c>
      <c r="BH14" s="8" t="s">
        <v>7</v>
      </c>
      <c r="BI14" s="8" t="s">
        <v>7</v>
      </c>
      <c r="BJ14" s="8" t="s">
        <v>7</v>
      </c>
      <c r="BK14" s="8" t="s">
        <v>7</v>
      </c>
      <c r="BL14" s="8" t="s">
        <v>7</v>
      </c>
      <c r="BM14" s="8" t="s">
        <v>7</v>
      </c>
      <c r="BN14" s="8" t="s">
        <v>7</v>
      </c>
    </row>
    <row r="15" spans="1:72" x14ac:dyDescent="0.35">
      <c r="C15" s="12">
        <f t="shared" si="32"/>
        <v>4</v>
      </c>
      <c r="D15" s="13" t="s">
        <v>5</v>
      </c>
      <c r="E15" s="20"/>
      <c r="F15" s="13" t="s">
        <v>5</v>
      </c>
      <c r="G15" s="13" t="s">
        <v>5</v>
      </c>
      <c r="H15" s="20"/>
      <c r="I15" s="13" t="s">
        <v>5</v>
      </c>
      <c r="J15" s="13" t="s">
        <v>5</v>
      </c>
      <c r="K15" s="20"/>
      <c r="L15" s="13" t="s">
        <v>5</v>
      </c>
      <c r="M15" s="13" t="s">
        <v>5</v>
      </c>
      <c r="N15" s="13"/>
      <c r="O15" s="13" t="s">
        <v>5</v>
      </c>
      <c r="P15" s="13" t="s">
        <v>5</v>
      </c>
      <c r="Q15" s="13"/>
      <c r="R15" s="13" t="s">
        <v>5</v>
      </c>
      <c r="S15" s="13" t="s">
        <v>5</v>
      </c>
      <c r="T15" s="20"/>
      <c r="U15" s="13" t="s">
        <v>5</v>
      </c>
      <c r="V15" s="13"/>
      <c r="W15" s="20"/>
      <c r="X15" s="13" t="s">
        <v>6</v>
      </c>
      <c r="Y15" s="13" t="s">
        <v>6</v>
      </c>
      <c r="Z15" s="13" t="s">
        <v>6</v>
      </c>
      <c r="AA15" s="13" t="s">
        <v>6</v>
      </c>
      <c r="AB15" s="13" t="s">
        <v>6</v>
      </c>
      <c r="AC15" s="13" t="s">
        <v>6</v>
      </c>
      <c r="AD15" s="13" t="s">
        <v>6</v>
      </c>
      <c r="AE15" s="13" t="s">
        <v>6</v>
      </c>
      <c r="AF15" s="13" t="s">
        <v>6</v>
      </c>
      <c r="AG15" s="13" t="s">
        <v>6</v>
      </c>
      <c r="AJ15" s="18">
        <f t="shared" si="33"/>
        <v>4</v>
      </c>
      <c r="AK15" s="9" t="s">
        <v>43</v>
      </c>
      <c r="AL15" s="9" t="s">
        <v>43</v>
      </c>
      <c r="AM15" s="9" t="s">
        <v>43</v>
      </c>
      <c r="AN15" s="9" t="s">
        <v>43</v>
      </c>
      <c r="AO15" s="22" t="s">
        <v>27</v>
      </c>
      <c r="AP15" s="22" t="s">
        <v>27</v>
      </c>
      <c r="AQ15" s="9" t="s">
        <v>43</v>
      </c>
      <c r="AR15" s="9" t="s">
        <v>43</v>
      </c>
      <c r="AU15" s="18">
        <f t="shared" si="34"/>
        <v>4</v>
      </c>
      <c r="AV15" s="9" t="s">
        <v>43</v>
      </c>
      <c r="AW15" s="9" t="s">
        <v>43</v>
      </c>
      <c r="AX15" s="9" t="s">
        <v>43</v>
      </c>
      <c r="AY15" s="9" t="s">
        <v>43</v>
      </c>
      <c r="AZ15" s="22" t="s">
        <v>28</v>
      </c>
      <c r="BA15" s="22" t="s">
        <v>28</v>
      </c>
      <c r="BB15" s="9" t="s">
        <v>43</v>
      </c>
      <c r="BC15" s="9" t="s">
        <v>43</v>
      </c>
      <c r="BF15" s="18">
        <f t="shared" si="35"/>
        <v>4</v>
      </c>
      <c r="BG15" s="9"/>
      <c r="BH15" s="9"/>
      <c r="BI15" s="9"/>
      <c r="BJ15" s="9"/>
      <c r="BK15" s="9"/>
      <c r="BL15" s="9"/>
      <c r="BM15" s="9"/>
      <c r="BN15" s="9"/>
    </row>
    <row r="16" spans="1:72" x14ac:dyDescent="0.35">
      <c r="C16" s="12">
        <f t="shared" si="32"/>
        <v>5</v>
      </c>
      <c r="D16" s="13" t="s">
        <v>5</v>
      </c>
      <c r="E16" s="20"/>
      <c r="F16" s="13" t="s">
        <v>5</v>
      </c>
      <c r="G16" s="13" t="s">
        <v>5</v>
      </c>
      <c r="H16" s="20"/>
      <c r="I16" s="13" t="s">
        <v>5</v>
      </c>
      <c r="J16" s="13" t="s">
        <v>5</v>
      </c>
      <c r="K16" s="20"/>
      <c r="L16" s="13" t="s">
        <v>5</v>
      </c>
      <c r="M16" s="13" t="s">
        <v>5</v>
      </c>
      <c r="N16" s="13"/>
      <c r="O16" s="13" t="s">
        <v>5</v>
      </c>
      <c r="P16" s="13" t="s">
        <v>5</v>
      </c>
      <c r="Q16" s="13"/>
      <c r="R16" s="13" t="s">
        <v>5</v>
      </c>
      <c r="S16" s="13" t="s">
        <v>5</v>
      </c>
      <c r="T16" s="20"/>
      <c r="U16" s="13" t="s">
        <v>5</v>
      </c>
      <c r="V16" s="13"/>
      <c r="W16" s="20"/>
      <c r="X16" s="13" t="s">
        <v>6</v>
      </c>
      <c r="Y16" s="13" t="s">
        <v>6</v>
      </c>
      <c r="Z16" s="13" t="s">
        <v>6</v>
      </c>
      <c r="AA16" s="13" t="s">
        <v>6</v>
      </c>
      <c r="AB16" s="13" t="s">
        <v>6</v>
      </c>
      <c r="AC16" s="13" t="s">
        <v>6</v>
      </c>
      <c r="AD16" s="13" t="s">
        <v>6</v>
      </c>
      <c r="AE16" s="13" t="s">
        <v>6</v>
      </c>
      <c r="AF16" s="13" t="s">
        <v>6</v>
      </c>
      <c r="AG16" s="13" t="s">
        <v>6</v>
      </c>
      <c r="AJ16" s="18">
        <f t="shared" si="33"/>
        <v>5</v>
      </c>
      <c r="AK16" s="9" t="s">
        <v>43</v>
      </c>
      <c r="AL16" s="9" t="s">
        <v>43</v>
      </c>
      <c r="AM16" s="9" t="s">
        <v>43</v>
      </c>
      <c r="AN16" s="9" t="s">
        <v>43</v>
      </c>
      <c r="AO16" s="9" t="s">
        <v>43</v>
      </c>
      <c r="AP16" s="9" t="s">
        <v>43</v>
      </c>
      <c r="AQ16" s="9" t="s">
        <v>43</v>
      </c>
      <c r="AR16" s="9" t="s">
        <v>43</v>
      </c>
      <c r="AU16" s="18">
        <f t="shared" si="34"/>
        <v>5</v>
      </c>
      <c r="AV16" s="9" t="s">
        <v>43</v>
      </c>
      <c r="AW16" s="9" t="s">
        <v>43</v>
      </c>
      <c r="AX16" s="9" t="s">
        <v>43</v>
      </c>
      <c r="AY16" s="9" t="s">
        <v>43</v>
      </c>
      <c r="AZ16" s="9" t="s">
        <v>43</v>
      </c>
      <c r="BA16" s="9" t="s">
        <v>43</v>
      </c>
      <c r="BB16" s="9" t="s">
        <v>43</v>
      </c>
      <c r="BC16" s="9" t="s">
        <v>43</v>
      </c>
      <c r="BF16" s="18">
        <f t="shared" si="35"/>
        <v>5</v>
      </c>
      <c r="BG16" s="8" t="s">
        <v>7</v>
      </c>
      <c r="BH16" s="9" t="s">
        <v>43</v>
      </c>
      <c r="BI16" s="9" t="s">
        <v>43</v>
      </c>
      <c r="BJ16" s="9" t="s">
        <v>43</v>
      </c>
      <c r="BK16" s="9" t="s">
        <v>43</v>
      </c>
      <c r="BL16" s="9" t="s">
        <v>43</v>
      </c>
      <c r="BM16" s="9" t="s">
        <v>43</v>
      </c>
      <c r="BN16" s="9" t="s">
        <v>43</v>
      </c>
    </row>
    <row r="17" spans="3:66" x14ac:dyDescent="0.35">
      <c r="C17" s="12">
        <f t="shared" si="32"/>
        <v>6</v>
      </c>
      <c r="D17" s="13" t="s">
        <v>5</v>
      </c>
      <c r="E17" s="20"/>
      <c r="F17" s="13" t="s">
        <v>5</v>
      </c>
      <c r="G17" s="13" t="s">
        <v>5</v>
      </c>
      <c r="H17" s="20"/>
      <c r="I17" s="13" t="s">
        <v>5</v>
      </c>
      <c r="J17" s="13" t="s">
        <v>5</v>
      </c>
      <c r="K17" s="20"/>
      <c r="L17" s="13" t="s">
        <v>5</v>
      </c>
      <c r="M17" s="13" t="s">
        <v>5</v>
      </c>
      <c r="N17" s="13"/>
      <c r="O17" s="13" t="s">
        <v>5</v>
      </c>
      <c r="P17" s="13" t="s">
        <v>5</v>
      </c>
      <c r="Q17" s="13"/>
      <c r="R17" s="13" t="s">
        <v>5</v>
      </c>
      <c r="S17" s="13" t="s">
        <v>5</v>
      </c>
      <c r="T17" s="20"/>
      <c r="U17" s="13" t="s">
        <v>5</v>
      </c>
      <c r="V17" s="13"/>
      <c r="W17" s="20"/>
      <c r="X17" s="13" t="s">
        <v>6</v>
      </c>
      <c r="Y17" s="13" t="s">
        <v>6</v>
      </c>
      <c r="Z17" s="13" t="s">
        <v>6</v>
      </c>
      <c r="AA17" s="13" t="s">
        <v>6</v>
      </c>
      <c r="AB17" s="13" t="s">
        <v>6</v>
      </c>
      <c r="AC17" s="13" t="s">
        <v>6</v>
      </c>
      <c r="AD17" s="13" t="s">
        <v>6</v>
      </c>
      <c r="AE17" s="13" t="s">
        <v>6</v>
      </c>
      <c r="AF17" s="13" t="s">
        <v>6</v>
      </c>
      <c r="AG17" s="13" t="s">
        <v>6</v>
      </c>
      <c r="AJ17" s="18">
        <f t="shared" si="33"/>
        <v>6</v>
      </c>
      <c r="AK17" s="9" t="s">
        <v>43</v>
      </c>
      <c r="AL17" s="9" t="s">
        <v>43</v>
      </c>
      <c r="AM17" s="9" t="s">
        <v>43</v>
      </c>
      <c r="AN17" s="9" t="s">
        <v>43</v>
      </c>
      <c r="AO17" s="9" t="s">
        <v>43</v>
      </c>
      <c r="AP17" s="9" t="s">
        <v>43</v>
      </c>
      <c r="AQ17" s="9" t="s">
        <v>43</v>
      </c>
      <c r="AR17" s="9" t="s">
        <v>43</v>
      </c>
      <c r="AU17" s="18">
        <f t="shared" si="34"/>
        <v>6</v>
      </c>
      <c r="AV17" s="9" t="s">
        <v>43</v>
      </c>
      <c r="AW17" s="9" t="s">
        <v>43</v>
      </c>
      <c r="AX17" s="9" t="s">
        <v>43</v>
      </c>
      <c r="AY17" s="9" t="s">
        <v>43</v>
      </c>
      <c r="AZ17" s="9" t="s">
        <v>43</v>
      </c>
      <c r="BA17" s="9" t="s">
        <v>43</v>
      </c>
      <c r="BB17" s="9" t="s">
        <v>43</v>
      </c>
      <c r="BC17" s="9" t="s">
        <v>43</v>
      </c>
      <c r="BF17" s="18">
        <f t="shared" si="35"/>
        <v>6</v>
      </c>
      <c r="BG17" s="8" t="s">
        <v>7</v>
      </c>
      <c r="BH17" s="9" t="s">
        <v>43</v>
      </c>
      <c r="BI17" s="9" t="s">
        <v>43</v>
      </c>
      <c r="BJ17" s="9" t="s">
        <v>43</v>
      </c>
      <c r="BK17" s="9" t="s">
        <v>43</v>
      </c>
      <c r="BL17" s="9" t="s">
        <v>43</v>
      </c>
      <c r="BM17" s="9" t="s">
        <v>43</v>
      </c>
      <c r="BN17" s="9" t="s">
        <v>43</v>
      </c>
    </row>
    <row r="18" spans="3:66" x14ac:dyDescent="0.35">
      <c r="C18" s="12">
        <f t="shared" si="32"/>
        <v>7</v>
      </c>
      <c r="D18" s="13" t="s">
        <v>5</v>
      </c>
      <c r="E18" s="20"/>
      <c r="F18" s="13" t="s">
        <v>5</v>
      </c>
      <c r="G18" s="13" t="s">
        <v>5</v>
      </c>
      <c r="H18" s="20"/>
      <c r="I18" s="13" t="s">
        <v>5</v>
      </c>
      <c r="J18" s="13" t="s">
        <v>5</v>
      </c>
      <c r="K18" s="20"/>
      <c r="L18" s="13" t="s">
        <v>5</v>
      </c>
      <c r="M18" s="13" t="s">
        <v>5</v>
      </c>
      <c r="N18" s="13"/>
      <c r="O18" s="13" t="s">
        <v>5</v>
      </c>
      <c r="P18" s="13" t="s">
        <v>5</v>
      </c>
      <c r="Q18" s="13"/>
      <c r="R18" s="13" t="s">
        <v>5</v>
      </c>
      <c r="S18" s="13" t="s">
        <v>5</v>
      </c>
      <c r="T18" s="20"/>
      <c r="U18" s="13" t="s">
        <v>5</v>
      </c>
      <c r="V18" s="13"/>
      <c r="W18" s="20"/>
      <c r="X18" s="13" t="s">
        <v>6</v>
      </c>
      <c r="Y18" s="13" t="s">
        <v>6</v>
      </c>
      <c r="Z18" s="13" t="s">
        <v>6</v>
      </c>
      <c r="AA18" s="13" t="s">
        <v>6</v>
      </c>
      <c r="AB18" s="13" t="s">
        <v>6</v>
      </c>
      <c r="AC18" s="13" t="s">
        <v>6</v>
      </c>
      <c r="AD18" s="13" t="s">
        <v>6</v>
      </c>
      <c r="AE18" s="13" t="s">
        <v>6</v>
      </c>
      <c r="AF18" s="13" t="s">
        <v>6</v>
      </c>
      <c r="AG18" s="13" t="s">
        <v>6</v>
      </c>
      <c r="AJ18" s="18">
        <f t="shared" si="33"/>
        <v>7</v>
      </c>
      <c r="AK18" s="9" t="s">
        <v>43</v>
      </c>
      <c r="AL18" s="9" t="s">
        <v>43</v>
      </c>
      <c r="AM18" s="9" t="s">
        <v>43</v>
      </c>
      <c r="AN18" s="9" t="s">
        <v>43</v>
      </c>
      <c r="AO18" s="9" t="s">
        <v>43</v>
      </c>
      <c r="AP18" s="9" t="s">
        <v>43</v>
      </c>
      <c r="AQ18" s="9" t="s">
        <v>43</v>
      </c>
      <c r="AR18" s="9" t="s">
        <v>43</v>
      </c>
      <c r="AU18" s="18">
        <f t="shared" si="34"/>
        <v>7</v>
      </c>
      <c r="AV18" s="8" t="s">
        <v>7</v>
      </c>
      <c r="AW18" s="9" t="s">
        <v>43</v>
      </c>
      <c r="AX18" s="9" t="s">
        <v>43</v>
      </c>
      <c r="AY18" s="9" t="s">
        <v>43</v>
      </c>
      <c r="AZ18" s="9" t="s">
        <v>43</v>
      </c>
      <c r="BA18" s="9" t="s">
        <v>43</v>
      </c>
      <c r="BB18" s="9" t="s">
        <v>43</v>
      </c>
      <c r="BC18" s="9" t="s">
        <v>43</v>
      </c>
      <c r="BF18" s="18">
        <f t="shared" si="35"/>
        <v>7</v>
      </c>
      <c r="BG18" s="8" t="s">
        <v>7</v>
      </c>
      <c r="BH18" s="9" t="s">
        <v>43</v>
      </c>
      <c r="BI18" s="9" t="s">
        <v>43</v>
      </c>
      <c r="BJ18" s="9" t="s">
        <v>43</v>
      </c>
      <c r="BK18" s="9" t="s">
        <v>43</v>
      </c>
      <c r="BL18" s="9" t="s">
        <v>43</v>
      </c>
      <c r="BM18" s="9" t="s">
        <v>43</v>
      </c>
      <c r="BN18" s="9" t="s">
        <v>43</v>
      </c>
    </row>
    <row r="19" spans="3:66" x14ac:dyDescent="0.35">
      <c r="C19" s="12">
        <f t="shared" si="32"/>
        <v>8</v>
      </c>
      <c r="D19" s="13" t="s">
        <v>5</v>
      </c>
      <c r="E19" s="21"/>
      <c r="F19" s="13" t="s">
        <v>5</v>
      </c>
      <c r="G19" s="13" t="s">
        <v>5</v>
      </c>
      <c r="H19" s="21"/>
      <c r="I19" s="13" t="s">
        <v>5</v>
      </c>
      <c r="J19" s="13" t="s">
        <v>5</v>
      </c>
      <c r="K19" s="21"/>
      <c r="L19" s="13" t="s">
        <v>5</v>
      </c>
      <c r="M19" s="13" t="s">
        <v>5</v>
      </c>
      <c r="N19" s="13"/>
      <c r="O19" s="13" t="s">
        <v>5</v>
      </c>
      <c r="P19" s="13" t="s">
        <v>5</v>
      </c>
      <c r="Q19" s="13"/>
      <c r="R19" s="13" t="s">
        <v>5</v>
      </c>
      <c r="S19" s="13" t="s">
        <v>5</v>
      </c>
      <c r="T19" s="21"/>
      <c r="U19" s="13" t="s">
        <v>5</v>
      </c>
      <c r="V19" s="13"/>
      <c r="W19" s="21"/>
      <c r="X19" s="13" t="s">
        <v>6</v>
      </c>
      <c r="Y19" s="13" t="s">
        <v>6</v>
      </c>
      <c r="Z19" s="13" t="s">
        <v>6</v>
      </c>
      <c r="AA19" s="13" t="s">
        <v>6</v>
      </c>
      <c r="AB19" s="13" t="s">
        <v>6</v>
      </c>
      <c r="AC19" s="13" t="s">
        <v>6</v>
      </c>
      <c r="AD19" s="13" t="s">
        <v>6</v>
      </c>
      <c r="AE19" s="13" t="s">
        <v>6</v>
      </c>
      <c r="AF19" s="13" t="s">
        <v>6</v>
      </c>
      <c r="AG19" s="13" t="s">
        <v>6</v>
      </c>
      <c r="AJ19" s="18">
        <f t="shared" si="33"/>
        <v>8</v>
      </c>
      <c r="AK19" s="9" t="s">
        <v>43</v>
      </c>
      <c r="AL19" s="9" t="s">
        <v>43</v>
      </c>
      <c r="AM19" s="9" t="s">
        <v>43</v>
      </c>
      <c r="AN19" s="9" t="s">
        <v>43</v>
      </c>
      <c r="AO19" s="9" t="s">
        <v>43</v>
      </c>
      <c r="AP19" s="9" t="s">
        <v>43</v>
      </c>
      <c r="AQ19" s="9" t="s">
        <v>43</v>
      </c>
      <c r="AR19" s="9" t="s">
        <v>43</v>
      </c>
      <c r="AU19" s="18">
        <f t="shared" si="34"/>
        <v>8</v>
      </c>
      <c r="AV19" s="8" t="s">
        <v>7</v>
      </c>
      <c r="AW19" s="9" t="s">
        <v>43</v>
      </c>
      <c r="AX19" s="9" t="s">
        <v>43</v>
      </c>
      <c r="AY19" s="9" t="s">
        <v>43</v>
      </c>
      <c r="AZ19" s="9" t="s">
        <v>43</v>
      </c>
      <c r="BA19" s="9" t="s">
        <v>43</v>
      </c>
      <c r="BB19" s="9" t="s">
        <v>43</v>
      </c>
      <c r="BC19" s="9" t="s">
        <v>43</v>
      </c>
      <c r="BF19" s="18">
        <f t="shared" si="35"/>
        <v>8</v>
      </c>
      <c r="BG19" s="8" t="s">
        <v>7</v>
      </c>
      <c r="BH19" s="9" t="s">
        <v>43</v>
      </c>
      <c r="BI19" s="9" t="s">
        <v>43</v>
      </c>
      <c r="BJ19" s="9" t="s">
        <v>43</v>
      </c>
      <c r="BK19" s="9" t="s">
        <v>43</v>
      </c>
      <c r="BL19" s="9" t="s">
        <v>43</v>
      </c>
      <c r="BM19" s="9" t="s">
        <v>43</v>
      </c>
      <c r="BN19" s="9" t="s">
        <v>43</v>
      </c>
    </row>
    <row r="20" spans="3:66" x14ac:dyDescent="0.35">
      <c r="C20" s="12">
        <f t="shared" si="32"/>
        <v>9</v>
      </c>
      <c r="D20" s="13" t="s">
        <v>5</v>
      </c>
      <c r="E20" s="20"/>
      <c r="F20" s="13" t="s">
        <v>5</v>
      </c>
      <c r="G20" s="13" t="s">
        <v>5</v>
      </c>
      <c r="H20" s="20"/>
      <c r="I20" s="13" t="s">
        <v>5</v>
      </c>
      <c r="J20" s="13" t="s">
        <v>5</v>
      </c>
      <c r="K20" s="20"/>
      <c r="L20" s="13" t="s">
        <v>5</v>
      </c>
      <c r="M20" s="13" t="s">
        <v>5</v>
      </c>
      <c r="N20" s="13"/>
      <c r="O20" s="13" t="s">
        <v>5</v>
      </c>
      <c r="P20" s="13" t="s">
        <v>5</v>
      </c>
      <c r="Q20" s="13"/>
      <c r="R20" s="13" t="s">
        <v>5</v>
      </c>
      <c r="S20" s="13" t="s">
        <v>5</v>
      </c>
      <c r="T20" s="20"/>
      <c r="U20" s="13" t="s">
        <v>5</v>
      </c>
      <c r="V20" s="13"/>
      <c r="W20" s="20"/>
      <c r="X20" s="13" t="s">
        <v>6</v>
      </c>
      <c r="Y20" s="13" t="s">
        <v>6</v>
      </c>
      <c r="Z20" s="13" t="s">
        <v>6</v>
      </c>
      <c r="AA20" s="13" t="s">
        <v>6</v>
      </c>
      <c r="AB20" s="13" t="s">
        <v>6</v>
      </c>
      <c r="AC20" s="13" t="s">
        <v>6</v>
      </c>
      <c r="AD20" s="13" t="s">
        <v>6</v>
      </c>
      <c r="AE20" s="13" t="s">
        <v>6</v>
      </c>
      <c r="AF20" s="13" t="s">
        <v>6</v>
      </c>
      <c r="AG20" s="13" t="s">
        <v>6</v>
      </c>
      <c r="AJ20" s="18">
        <f t="shared" si="33"/>
        <v>9</v>
      </c>
      <c r="AK20" s="9" t="s">
        <v>43</v>
      </c>
      <c r="AL20" s="9" t="s">
        <v>43</v>
      </c>
      <c r="AM20" s="9" t="s">
        <v>43</v>
      </c>
      <c r="AN20" s="9" t="s">
        <v>43</v>
      </c>
      <c r="AO20" s="9" t="s">
        <v>43</v>
      </c>
      <c r="AP20" s="9" t="s">
        <v>43</v>
      </c>
      <c r="AQ20" s="9" t="s">
        <v>43</v>
      </c>
      <c r="AR20" s="9" t="s">
        <v>43</v>
      </c>
      <c r="AU20" s="18">
        <f t="shared" si="34"/>
        <v>9</v>
      </c>
      <c r="AV20" s="8" t="s">
        <v>7</v>
      </c>
      <c r="AW20" s="9" t="s">
        <v>43</v>
      </c>
      <c r="AX20" s="9" t="s">
        <v>43</v>
      </c>
      <c r="AY20" s="9" t="s">
        <v>43</v>
      </c>
      <c r="AZ20" s="9" t="s">
        <v>43</v>
      </c>
      <c r="BA20" s="9" t="s">
        <v>43</v>
      </c>
      <c r="BB20" s="9" t="s">
        <v>43</v>
      </c>
      <c r="BC20" s="9" t="s">
        <v>43</v>
      </c>
      <c r="BF20" s="18">
        <f t="shared" si="35"/>
        <v>9</v>
      </c>
      <c r="BG20" s="8" t="s">
        <v>7</v>
      </c>
      <c r="BH20" s="9" t="s">
        <v>43</v>
      </c>
      <c r="BI20" s="9" t="s">
        <v>43</v>
      </c>
      <c r="BJ20" s="9" t="s">
        <v>43</v>
      </c>
      <c r="BK20" s="9" t="s">
        <v>43</v>
      </c>
      <c r="BL20" s="9" t="s">
        <v>43</v>
      </c>
      <c r="BM20" s="9" t="s">
        <v>43</v>
      </c>
      <c r="BN20" s="9" t="s">
        <v>43</v>
      </c>
    </row>
    <row r="21" spans="3:66" x14ac:dyDescent="0.35">
      <c r="C21" s="12">
        <f t="shared" si="32"/>
        <v>10</v>
      </c>
      <c r="D21" s="13" t="s">
        <v>5</v>
      </c>
      <c r="E21" s="20"/>
      <c r="F21" s="13" t="s">
        <v>5</v>
      </c>
      <c r="G21" s="13" t="s">
        <v>5</v>
      </c>
      <c r="H21" s="20"/>
      <c r="I21" s="13" t="s">
        <v>5</v>
      </c>
      <c r="J21" s="13" t="s">
        <v>5</v>
      </c>
      <c r="K21" s="20"/>
      <c r="L21" s="13" t="s">
        <v>5</v>
      </c>
      <c r="M21" s="13" t="s">
        <v>5</v>
      </c>
      <c r="N21" s="13"/>
      <c r="O21" s="13" t="s">
        <v>5</v>
      </c>
      <c r="P21" s="13" t="s">
        <v>5</v>
      </c>
      <c r="Q21" s="13"/>
      <c r="R21" s="13" t="s">
        <v>5</v>
      </c>
      <c r="S21" s="13" t="s">
        <v>5</v>
      </c>
      <c r="T21" s="20"/>
      <c r="U21" s="13" t="s">
        <v>5</v>
      </c>
      <c r="V21" s="13"/>
      <c r="W21" s="20"/>
      <c r="X21" s="13" t="s">
        <v>6</v>
      </c>
      <c r="Y21" s="13" t="s">
        <v>6</v>
      </c>
      <c r="Z21" s="13" t="s">
        <v>6</v>
      </c>
      <c r="AA21" s="13" t="s">
        <v>6</v>
      </c>
      <c r="AB21" s="13" t="s">
        <v>6</v>
      </c>
      <c r="AC21" s="13" t="s">
        <v>6</v>
      </c>
      <c r="AD21" s="13" t="s">
        <v>6</v>
      </c>
      <c r="AE21" s="13" t="s">
        <v>6</v>
      </c>
      <c r="AF21" s="13" t="s">
        <v>6</v>
      </c>
      <c r="AG21" s="13" t="s">
        <v>6</v>
      </c>
      <c r="AJ21" s="18">
        <f t="shared" si="33"/>
        <v>10</v>
      </c>
      <c r="AK21" s="9" t="s">
        <v>43</v>
      </c>
      <c r="AL21" s="9" t="s">
        <v>43</v>
      </c>
      <c r="AM21" s="9" t="s">
        <v>43</v>
      </c>
      <c r="AN21" s="9" t="s">
        <v>43</v>
      </c>
      <c r="AO21" s="9" t="s">
        <v>43</v>
      </c>
      <c r="AP21" s="9" t="s">
        <v>43</v>
      </c>
      <c r="AQ21" s="9" t="s">
        <v>43</v>
      </c>
      <c r="AR21" s="9" t="s">
        <v>43</v>
      </c>
      <c r="AU21" s="18">
        <f t="shared" si="34"/>
        <v>10</v>
      </c>
      <c r="AV21" s="8" t="s">
        <v>7</v>
      </c>
      <c r="AW21" s="9" t="s">
        <v>43</v>
      </c>
      <c r="AX21" s="9" t="s">
        <v>43</v>
      </c>
      <c r="AY21" s="9" t="s">
        <v>43</v>
      </c>
      <c r="AZ21" s="9" t="s">
        <v>43</v>
      </c>
      <c r="BA21" s="9" t="s">
        <v>43</v>
      </c>
      <c r="BB21" s="9" t="s">
        <v>43</v>
      </c>
      <c r="BC21" s="9" t="s">
        <v>43</v>
      </c>
      <c r="BF21" s="18">
        <f t="shared" si="35"/>
        <v>10</v>
      </c>
      <c r="BG21" s="8" t="s">
        <v>7</v>
      </c>
      <c r="BH21" s="9" t="s">
        <v>43</v>
      </c>
      <c r="BI21" s="9" t="s">
        <v>43</v>
      </c>
      <c r="BJ21" s="9" t="s">
        <v>43</v>
      </c>
      <c r="BK21" s="9" t="s">
        <v>43</v>
      </c>
      <c r="BL21" s="9" t="s">
        <v>43</v>
      </c>
      <c r="BM21" s="9" t="s">
        <v>43</v>
      </c>
      <c r="BN21" s="9" t="s">
        <v>43</v>
      </c>
    </row>
    <row r="22" spans="3:66" x14ac:dyDescent="0.35">
      <c r="C22" s="12">
        <f t="shared" si="32"/>
        <v>11</v>
      </c>
      <c r="D22" s="13" t="s">
        <v>5</v>
      </c>
      <c r="E22" s="20"/>
      <c r="F22" s="13" t="s">
        <v>5</v>
      </c>
      <c r="G22" s="13" t="s">
        <v>5</v>
      </c>
      <c r="H22" s="20"/>
      <c r="I22" s="13" t="s">
        <v>5</v>
      </c>
      <c r="J22" s="13" t="s">
        <v>5</v>
      </c>
      <c r="K22" s="20"/>
      <c r="L22" s="13" t="s">
        <v>5</v>
      </c>
      <c r="M22" s="13" t="s">
        <v>5</v>
      </c>
      <c r="N22" s="13"/>
      <c r="O22" s="13" t="s">
        <v>5</v>
      </c>
      <c r="P22" s="13" t="s">
        <v>5</v>
      </c>
      <c r="Q22" s="13"/>
      <c r="R22" s="13" t="s">
        <v>5</v>
      </c>
      <c r="S22" s="13" t="s">
        <v>5</v>
      </c>
      <c r="T22" s="20"/>
      <c r="U22" s="13" t="s">
        <v>5</v>
      </c>
      <c r="V22" s="13"/>
      <c r="W22" s="20"/>
      <c r="X22" s="13" t="s">
        <v>6</v>
      </c>
      <c r="Y22" s="13" t="s">
        <v>6</v>
      </c>
      <c r="Z22" s="13" t="s">
        <v>6</v>
      </c>
      <c r="AA22" s="13" t="s">
        <v>6</v>
      </c>
      <c r="AB22" s="13" t="s">
        <v>6</v>
      </c>
      <c r="AC22" s="13" t="s">
        <v>6</v>
      </c>
      <c r="AD22" s="13" t="s">
        <v>6</v>
      </c>
      <c r="AE22" s="13" t="s">
        <v>6</v>
      </c>
      <c r="AF22" s="13" t="s">
        <v>6</v>
      </c>
      <c r="AG22" s="13" t="s">
        <v>6</v>
      </c>
      <c r="AJ22" s="18">
        <f t="shared" si="33"/>
        <v>11</v>
      </c>
      <c r="AK22" s="9" t="s">
        <v>43</v>
      </c>
      <c r="AL22" s="9" t="s">
        <v>43</v>
      </c>
      <c r="AM22" s="9" t="s">
        <v>43</v>
      </c>
      <c r="AN22" s="9" t="s">
        <v>43</v>
      </c>
      <c r="AO22" s="9" t="s">
        <v>43</v>
      </c>
      <c r="AP22" s="9" t="s">
        <v>43</v>
      </c>
      <c r="AQ22" s="9" t="s">
        <v>43</v>
      </c>
      <c r="AR22" s="9" t="s">
        <v>43</v>
      </c>
      <c r="AU22" s="18">
        <f t="shared" si="34"/>
        <v>11</v>
      </c>
      <c r="AV22" s="8" t="s">
        <v>7</v>
      </c>
      <c r="AW22" s="9" t="s">
        <v>43</v>
      </c>
      <c r="AX22" s="9" t="s">
        <v>43</v>
      </c>
      <c r="AY22" s="9" t="s">
        <v>43</v>
      </c>
      <c r="AZ22" s="9" t="s">
        <v>43</v>
      </c>
      <c r="BA22" s="9" t="s">
        <v>43</v>
      </c>
      <c r="BB22" s="9" t="s">
        <v>43</v>
      </c>
      <c r="BC22" s="9" t="s">
        <v>43</v>
      </c>
      <c r="BF22" s="18">
        <f t="shared" si="35"/>
        <v>11</v>
      </c>
      <c r="BG22" s="8" t="s">
        <v>7</v>
      </c>
      <c r="BH22" s="9" t="s">
        <v>43</v>
      </c>
      <c r="BI22" s="9" t="s">
        <v>43</v>
      </c>
      <c r="BJ22" s="9" t="s">
        <v>43</v>
      </c>
      <c r="BK22" s="9" t="s">
        <v>43</v>
      </c>
      <c r="BL22" s="9" t="s">
        <v>43</v>
      </c>
      <c r="BM22" s="9" t="s">
        <v>43</v>
      </c>
      <c r="BN22" s="9" t="s">
        <v>43</v>
      </c>
    </row>
    <row r="23" spans="3:66" x14ac:dyDescent="0.35">
      <c r="C23" s="12">
        <f t="shared" si="32"/>
        <v>12</v>
      </c>
      <c r="D23" s="13" t="s">
        <v>5</v>
      </c>
      <c r="E23" s="20"/>
      <c r="F23" s="13" t="s">
        <v>5</v>
      </c>
      <c r="G23" s="13" t="s">
        <v>5</v>
      </c>
      <c r="H23" s="20"/>
      <c r="I23" s="13" t="s">
        <v>5</v>
      </c>
      <c r="J23" s="13" t="s">
        <v>5</v>
      </c>
      <c r="K23" s="20"/>
      <c r="L23" s="13" t="s">
        <v>5</v>
      </c>
      <c r="M23" s="13" t="s">
        <v>5</v>
      </c>
      <c r="N23" s="13"/>
      <c r="O23" s="13" t="s">
        <v>5</v>
      </c>
      <c r="P23" s="13" t="s">
        <v>5</v>
      </c>
      <c r="Q23" s="13"/>
      <c r="R23" s="13" t="s">
        <v>5</v>
      </c>
      <c r="S23" s="13" t="s">
        <v>5</v>
      </c>
      <c r="T23" s="20"/>
      <c r="U23" s="13" t="s">
        <v>5</v>
      </c>
      <c r="V23" s="13"/>
      <c r="W23" s="20"/>
      <c r="X23" s="13" t="s">
        <v>6</v>
      </c>
      <c r="Y23" s="13" t="s">
        <v>6</v>
      </c>
      <c r="Z23" s="13" t="s">
        <v>6</v>
      </c>
      <c r="AA23" s="13" t="s">
        <v>6</v>
      </c>
      <c r="AB23" s="13" t="s">
        <v>6</v>
      </c>
      <c r="AC23" s="13" t="s">
        <v>6</v>
      </c>
      <c r="AD23" s="13" t="s">
        <v>6</v>
      </c>
      <c r="AE23" s="13" t="s">
        <v>6</v>
      </c>
      <c r="AF23" s="13" t="s">
        <v>6</v>
      </c>
      <c r="AG23" s="13" t="s">
        <v>6</v>
      </c>
      <c r="AJ23" s="19">
        <v>12</v>
      </c>
      <c r="AK23" s="9" t="s">
        <v>43</v>
      </c>
      <c r="AL23" s="9" t="s">
        <v>43</v>
      </c>
      <c r="AM23" s="9" t="s">
        <v>43</v>
      </c>
      <c r="AN23" s="9" t="s">
        <v>43</v>
      </c>
      <c r="AO23" s="9" t="s">
        <v>43</v>
      </c>
      <c r="AP23" s="9" t="s">
        <v>43</v>
      </c>
      <c r="AQ23" s="9" t="s">
        <v>43</v>
      </c>
      <c r="AR23" s="9" t="s">
        <v>43</v>
      </c>
      <c r="AU23" s="19">
        <v>12</v>
      </c>
      <c r="AV23" s="8" t="s">
        <v>7</v>
      </c>
      <c r="AW23" s="9" t="s">
        <v>43</v>
      </c>
      <c r="AX23" s="9" t="s">
        <v>43</v>
      </c>
      <c r="AY23" s="9" t="s">
        <v>43</v>
      </c>
      <c r="AZ23" s="9" t="s">
        <v>43</v>
      </c>
      <c r="BA23" s="9" t="s">
        <v>43</v>
      </c>
      <c r="BB23" s="9" t="s">
        <v>43</v>
      </c>
      <c r="BC23" s="9" t="s">
        <v>43</v>
      </c>
      <c r="BF23" s="19">
        <v>12</v>
      </c>
      <c r="BG23" s="8" t="s">
        <v>7</v>
      </c>
      <c r="BH23" s="9" t="s">
        <v>43</v>
      </c>
      <c r="BI23" s="9" t="s">
        <v>43</v>
      </c>
      <c r="BJ23" s="9" t="s">
        <v>43</v>
      </c>
      <c r="BK23" s="9" t="s">
        <v>43</v>
      </c>
      <c r="BL23" s="9" t="s">
        <v>43</v>
      </c>
      <c r="BM23" s="9" t="s">
        <v>43</v>
      </c>
      <c r="BN23" s="9" t="s">
        <v>43</v>
      </c>
    </row>
    <row r="24" spans="3:66" x14ac:dyDescent="0.35">
      <c r="C24" s="12">
        <f t="shared" si="32"/>
        <v>13</v>
      </c>
      <c r="D24" s="13" t="s">
        <v>5</v>
      </c>
      <c r="E24" s="20"/>
      <c r="F24" s="13" t="s">
        <v>5</v>
      </c>
      <c r="G24" s="13" t="s">
        <v>5</v>
      </c>
      <c r="H24" s="20"/>
      <c r="I24" s="13" t="s">
        <v>5</v>
      </c>
      <c r="J24" s="13" t="s">
        <v>5</v>
      </c>
      <c r="K24" s="20"/>
      <c r="L24" s="13" t="s">
        <v>5</v>
      </c>
      <c r="M24" s="13" t="s">
        <v>5</v>
      </c>
      <c r="N24" s="13"/>
      <c r="O24" s="13" t="s">
        <v>5</v>
      </c>
      <c r="P24" s="13" t="s">
        <v>5</v>
      </c>
      <c r="Q24" s="13"/>
      <c r="R24" s="13" t="s">
        <v>5</v>
      </c>
      <c r="S24" s="13" t="s">
        <v>5</v>
      </c>
      <c r="T24" s="20"/>
      <c r="U24" s="13" t="s">
        <v>5</v>
      </c>
      <c r="V24" s="13"/>
      <c r="W24" s="20"/>
      <c r="X24" s="13"/>
      <c r="Y24" s="13"/>
      <c r="Z24" s="13"/>
      <c r="AA24" s="21"/>
      <c r="AB24" s="21"/>
      <c r="AC24" s="21"/>
      <c r="AD24" s="21"/>
      <c r="AE24" s="21"/>
      <c r="AF24" s="21"/>
      <c r="AG24" s="21"/>
      <c r="AV24" s="23" t="s">
        <v>40</v>
      </c>
      <c r="AW24" s="23"/>
      <c r="AX24" s="23"/>
      <c r="AY24" s="23"/>
      <c r="AZ24" s="23"/>
      <c r="BA24" s="23"/>
      <c r="BB24" s="23"/>
      <c r="BC24" s="23"/>
    </row>
    <row r="25" spans="3:66" x14ac:dyDescent="0.35">
      <c r="C25" s="12">
        <f t="shared" si="32"/>
        <v>14</v>
      </c>
      <c r="D25" s="13" t="s">
        <v>5</v>
      </c>
      <c r="E25" s="20"/>
      <c r="F25" s="13" t="s">
        <v>5</v>
      </c>
      <c r="G25" s="13" t="s">
        <v>5</v>
      </c>
      <c r="H25" s="20"/>
      <c r="I25" s="13" t="s">
        <v>5</v>
      </c>
      <c r="J25" s="13" t="s">
        <v>5</v>
      </c>
      <c r="K25" s="20"/>
      <c r="L25" s="13" t="s">
        <v>5</v>
      </c>
      <c r="M25" s="13" t="s">
        <v>5</v>
      </c>
      <c r="N25" s="13"/>
      <c r="O25" s="13" t="s">
        <v>5</v>
      </c>
      <c r="P25" s="13" t="s">
        <v>5</v>
      </c>
      <c r="Q25" s="13"/>
      <c r="R25" s="13" t="s">
        <v>5</v>
      </c>
      <c r="S25" s="13" t="s">
        <v>5</v>
      </c>
      <c r="T25" s="20"/>
      <c r="U25" s="13" t="s">
        <v>5</v>
      </c>
      <c r="V25" s="13"/>
      <c r="W25" s="20"/>
      <c r="X25" s="13"/>
      <c r="Y25" s="13"/>
      <c r="Z25" s="13"/>
      <c r="AA25" s="21"/>
      <c r="AB25" s="21"/>
      <c r="AC25" s="21"/>
      <c r="AD25" s="21"/>
      <c r="AE25" s="21"/>
      <c r="AF25" s="21"/>
      <c r="AG25" s="21"/>
    </row>
    <row r="26" spans="3:66" x14ac:dyDescent="0.35">
      <c r="C26" s="12">
        <f t="shared" si="32"/>
        <v>15</v>
      </c>
      <c r="D26" s="13" t="s">
        <v>5</v>
      </c>
      <c r="E26" s="20"/>
      <c r="F26" s="13" t="s">
        <v>5</v>
      </c>
      <c r="G26" s="13" t="s">
        <v>5</v>
      </c>
      <c r="H26" s="20"/>
      <c r="I26" s="13" t="s">
        <v>5</v>
      </c>
      <c r="J26" s="13" t="s">
        <v>5</v>
      </c>
      <c r="K26" s="20"/>
      <c r="L26" s="13" t="s">
        <v>5</v>
      </c>
      <c r="M26" s="13" t="s">
        <v>5</v>
      </c>
      <c r="N26" s="13"/>
      <c r="O26" s="13" t="s">
        <v>5</v>
      </c>
      <c r="P26" s="13" t="s">
        <v>5</v>
      </c>
      <c r="Q26" s="13"/>
      <c r="R26" s="13" t="s">
        <v>5</v>
      </c>
      <c r="S26" s="13" t="s">
        <v>5</v>
      </c>
      <c r="T26" s="20"/>
      <c r="U26" s="13" t="s">
        <v>5</v>
      </c>
      <c r="V26" s="13"/>
      <c r="W26" s="20"/>
      <c r="X26" s="13"/>
      <c r="Y26" s="13"/>
      <c r="Z26" s="13"/>
      <c r="AA26" s="21"/>
      <c r="AB26" s="21"/>
      <c r="AC26" s="21"/>
      <c r="AD26" s="21"/>
      <c r="AE26" s="21"/>
      <c r="AF26" s="21"/>
      <c r="AG26" s="21"/>
    </row>
    <row r="27" spans="3:66" x14ac:dyDescent="0.35">
      <c r="C27" s="12">
        <f t="shared" si="32"/>
        <v>16</v>
      </c>
      <c r="D27" s="13" t="s">
        <v>5</v>
      </c>
      <c r="E27" s="20"/>
      <c r="F27" s="13" t="s">
        <v>5</v>
      </c>
      <c r="G27" s="13" t="s">
        <v>5</v>
      </c>
      <c r="H27" s="20"/>
      <c r="I27" s="13" t="s">
        <v>5</v>
      </c>
      <c r="J27" s="13" t="s">
        <v>5</v>
      </c>
      <c r="K27" s="20"/>
      <c r="L27" s="13" t="s">
        <v>5</v>
      </c>
      <c r="M27" s="13" t="s">
        <v>5</v>
      </c>
      <c r="N27" s="13"/>
      <c r="O27" s="13" t="s">
        <v>5</v>
      </c>
      <c r="P27" s="13" t="s">
        <v>5</v>
      </c>
      <c r="Q27" s="13"/>
      <c r="R27" s="13" t="s">
        <v>5</v>
      </c>
      <c r="S27" s="13" t="s">
        <v>5</v>
      </c>
      <c r="T27" s="20"/>
      <c r="U27" s="13" t="s">
        <v>5</v>
      </c>
      <c r="V27" s="13"/>
      <c r="W27" s="20"/>
      <c r="X27" s="13"/>
      <c r="Y27" s="13"/>
      <c r="Z27" s="13"/>
      <c r="AA27" s="21"/>
      <c r="AB27" s="21"/>
      <c r="AC27" s="21"/>
      <c r="AD27" s="21"/>
      <c r="AE27" s="21"/>
      <c r="AF27" s="21"/>
      <c r="AG27" s="21"/>
    </row>
    <row r="28" spans="3:66" x14ac:dyDescent="0.35">
      <c r="C28" s="12">
        <f t="shared" si="32"/>
        <v>17</v>
      </c>
      <c r="D28" s="13" t="s">
        <v>5</v>
      </c>
      <c r="E28" s="20"/>
      <c r="F28" s="13" t="s">
        <v>5</v>
      </c>
      <c r="G28" s="13" t="s">
        <v>5</v>
      </c>
      <c r="H28" s="20"/>
      <c r="I28" s="13" t="s">
        <v>5</v>
      </c>
      <c r="J28" s="13" t="s">
        <v>5</v>
      </c>
      <c r="K28" s="20"/>
      <c r="L28" s="13" t="s">
        <v>5</v>
      </c>
      <c r="M28" s="13" t="s">
        <v>5</v>
      </c>
      <c r="N28" s="13"/>
      <c r="O28" s="13" t="s">
        <v>5</v>
      </c>
      <c r="P28" s="13" t="s">
        <v>5</v>
      </c>
      <c r="Q28" s="13"/>
      <c r="R28" s="13" t="s">
        <v>5</v>
      </c>
      <c r="S28" s="13" t="s">
        <v>5</v>
      </c>
      <c r="T28" s="20"/>
      <c r="U28" s="13" t="s">
        <v>5</v>
      </c>
      <c r="V28" s="13"/>
      <c r="W28" s="20"/>
      <c r="X28" s="13"/>
      <c r="Y28" s="13"/>
      <c r="Z28" s="13"/>
      <c r="AA28" s="21"/>
      <c r="AB28" s="21"/>
      <c r="AC28" s="21"/>
      <c r="AD28" s="21"/>
      <c r="AE28" s="21"/>
      <c r="AF28" s="21"/>
      <c r="AG28" s="21"/>
    </row>
    <row r="29" spans="3:66" x14ac:dyDescent="0.35">
      <c r="C29" s="12">
        <f t="shared" si="32"/>
        <v>18</v>
      </c>
      <c r="D29" s="13" t="s">
        <v>5</v>
      </c>
      <c r="E29" s="20"/>
      <c r="F29" s="13" t="s">
        <v>5</v>
      </c>
      <c r="G29" s="13" t="s">
        <v>5</v>
      </c>
      <c r="H29" s="20"/>
      <c r="I29" s="13" t="s">
        <v>5</v>
      </c>
      <c r="J29" s="13" t="s">
        <v>5</v>
      </c>
      <c r="K29" s="20"/>
      <c r="L29" s="13" t="s">
        <v>5</v>
      </c>
      <c r="M29" s="13" t="s">
        <v>5</v>
      </c>
      <c r="N29" s="13"/>
      <c r="O29" s="13" t="s">
        <v>5</v>
      </c>
      <c r="P29" s="13" t="s">
        <v>5</v>
      </c>
      <c r="Q29" s="13"/>
      <c r="R29" s="13" t="s">
        <v>5</v>
      </c>
      <c r="S29" s="13" t="s">
        <v>5</v>
      </c>
      <c r="T29" s="20"/>
      <c r="U29" s="13" t="s">
        <v>5</v>
      </c>
      <c r="V29" s="13"/>
      <c r="W29" s="20"/>
      <c r="X29" s="13"/>
      <c r="Y29" s="13"/>
      <c r="Z29" s="13"/>
      <c r="AA29" s="21"/>
      <c r="AB29" s="21"/>
      <c r="AC29" s="21"/>
      <c r="AD29" s="21"/>
      <c r="AE29" s="21"/>
      <c r="AF29" s="21"/>
      <c r="AG29" s="21"/>
    </row>
    <row r="30" spans="3:66" x14ac:dyDescent="0.35">
      <c r="C30" s="12">
        <f t="shared" si="32"/>
        <v>19</v>
      </c>
      <c r="D30" s="13" t="s">
        <v>5</v>
      </c>
      <c r="E30" s="20"/>
      <c r="F30" s="13" t="s">
        <v>5</v>
      </c>
      <c r="G30" s="13" t="s">
        <v>5</v>
      </c>
      <c r="H30" s="20"/>
      <c r="I30" s="13" t="s">
        <v>5</v>
      </c>
      <c r="J30" s="13" t="s">
        <v>5</v>
      </c>
      <c r="K30" s="20"/>
      <c r="L30" s="13" t="s">
        <v>5</v>
      </c>
      <c r="M30" s="13" t="s">
        <v>5</v>
      </c>
      <c r="N30" s="13"/>
      <c r="O30" s="13" t="s">
        <v>5</v>
      </c>
      <c r="P30" s="13" t="s">
        <v>5</v>
      </c>
      <c r="Q30" s="13"/>
      <c r="R30" s="13" t="s">
        <v>5</v>
      </c>
      <c r="S30" s="13" t="s">
        <v>5</v>
      </c>
      <c r="T30" s="20"/>
      <c r="U30" s="13" t="s">
        <v>5</v>
      </c>
      <c r="V30" s="13"/>
      <c r="W30" s="20"/>
      <c r="X30" s="13"/>
      <c r="Y30" s="13"/>
      <c r="Z30" s="13"/>
      <c r="AA30" s="21"/>
      <c r="AB30" s="21"/>
      <c r="AC30" s="21"/>
      <c r="AD30" s="21"/>
      <c r="AE30" s="21"/>
      <c r="AF30" s="21"/>
      <c r="AG30" s="21"/>
    </row>
    <row r="31" spans="3:66" x14ac:dyDescent="0.35">
      <c r="C31" s="14">
        <f t="shared" si="32"/>
        <v>20</v>
      </c>
      <c r="D31" s="13" t="s">
        <v>5</v>
      </c>
      <c r="E31" s="20"/>
      <c r="F31" s="13" t="s">
        <v>5</v>
      </c>
      <c r="G31" s="13" t="s">
        <v>5</v>
      </c>
      <c r="H31" s="20"/>
      <c r="I31" s="13" t="s">
        <v>5</v>
      </c>
      <c r="J31" s="13" t="s">
        <v>5</v>
      </c>
      <c r="K31" s="20"/>
      <c r="L31" s="13" t="s">
        <v>5</v>
      </c>
      <c r="M31" s="13" t="s">
        <v>5</v>
      </c>
      <c r="N31" s="13"/>
      <c r="O31" s="13" t="s">
        <v>5</v>
      </c>
      <c r="P31" s="13" t="s">
        <v>5</v>
      </c>
      <c r="Q31" s="13"/>
      <c r="R31" s="13" t="s">
        <v>5</v>
      </c>
      <c r="S31" s="13" t="s">
        <v>5</v>
      </c>
      <c r="T31" s="20"/>
      <c r="U31" s="13" t="s">
        <v>5</v>
      </c>
      <c r="V31" s="13"/>
      <c r="W31" s="20"/>
      <c r="X31" s="13"/>
      <c r="Y31" s="13"/>
      <c r="Z31" s="13"/>
      <c r="AA31" s="21"/>
      <c r="AB31" s="21"/>
      <c r="AC31" s="21"/>
      <c r="AD31" s="21"/>
      <c r="AE31" s="21"/>
      <c r="AF31" s="21"/>
      <c r="AG31" s="21"/>
    </row>
    <row r="32" spans="3:66" x14ac:dyDescent="0.35">
      <c r="C32" s="14">
        <f t="shared" si="32"/>
        <v>21</v>
      </c>
      <c r="D32" s="13" t="s">
        <v>5</v>
      </c>
      <c r="E32" s="20"/>
      <c r="F32" s="13" t="s">
        <v>5</v>
      </c>
      <c r="G32" s="13" t="s">
        <v>5</v>
      </c>
      <c r="H32" s="20"/>
      <c r="I32" s="13" t="s">
        <v>5</v>
      </c>
      <c r="J32" s="13" t="s">
        <v>5</v>
      </c>
      <c r="K32" s="20"/>
      <c r="L32" s="13" t="s">
        <v>5</v>
      </c>
      <c r="M32" s="13" t="s">
        <v>5</v>
      </c>
      <c r="N32" s="13"/>
      <c r="O32" s="13" t="s">
        <v>5</v>
      </c>
      <c r="P32" s="13" t="s">
        <v>5</v>
      </c>
      <c r="Q32" s="13"/>
      <c r="R32" s="13" t="s">
        <v>5</v>
      </c>
      <c r="S32" s="13" t="s">
        <v>5</v>
      </c>
      <c r="T32" s="20"/>
      <c r="U32" s="13" t="s">
        <v>5</v>
      </c>
      <c r="V32" s="13"/>
      <c r="W32" s="20"/>
      <c r="X32" s="13"/>
      <c r="Y32" s="13"/>
      <c r="Z32" s="13"/>
      <c r="AA32" s="21"/>
      <c r="AB32" s="21"/>
      <c r="AC32" s="21"/>
      <c r="AD32" s="21"/>
      <c r="AE32" s="21"/>
      <c r="AF32" s="21"/>
      <c r="AG32" s="21"/>
    </row>
    <row r="33" spans="3:33" x14ac:dyDescent="0.35">
      <c r="C33" s="14">
        <f t="shared" si="32"/>
        <v>22</v>
      </c>
      <c r="D33" s="13" t="s">
        <v>5</v>
      </c>
      <c r="E33" s="20"/>
      <c r="F33" s="13" t="s">
        <v>5</v>
      </c>
      <c r="G33" s="13" t="s">
        <v>5</v>
      </c>
      <c r="H33" s="20"/>
      <c r="I33" s="13" t="s">
        <v>5</v>
      </c>
      <c r="J33" s="13" t="s">
        <v>5</v>
      </c>
      <c r="K33" s="20"/>
      <c r="L33" s="13" t="s">
        <v>5</v>
      </c>
      <c r="M33" s="13" t="s">
        <v>5</v>
      </c>
      <c r="N33" s="13"/>
      <c r="O33" s="13" t="s">
        <v>5</v>
      </c>
      <c r="P33" s="13" t="s">
        <v>5</v>
      </c>
      <c r="Q33" s="13"/>
      <c r="R33" s="13" t="s">
        <v>5</v>
      </c>
      <c r="S33" s="13" t="s">
        <v>5</v>
      </c>
      <c r="T33" s="20"/>
      <c r="U33" s="13" t="s">
        <v>5</v>
      </c>
      <c r="V33" s="13"/>
      <c r="W33" s="20"/>
      <c r="X33" s="13"/>
      <c r="Y33" s="13"/>
      <c r="Z33" s="13"/>
      <c r="AA33" s="21"/>
      <c r="AB33" s="21"/>
      <c r="AC33" s="21"/>
      <c r="AD33" s="21"/>
      <c r="AE33" s="21"/>
      <c r="AF33" s="21"/>
      <c r="AG33" s="21"/>
    </row>
    <row r="34" spans="3:33" x14ac:dyDescent="0.35">
      <c r="C34" s="14">
        <f t="shared" si="32"/>
        <v>23</v>
      </c>
      <c r="D34" s="13" t="s">
        <v>5</v>
      </c>
      <c r="E34" s="20"/>
      <c r="F34" s="13" t="s">
        <v>5</v>
      </c>
      <c r="G34" s="13" t="s">
        <v>5</v>
      </c>
      <c r="H34" s="20"/>
      <c r="I34" s="13" t="s">
        <v>5</v>
      </c>
      <c r="J34" s="13" t="s">
        <v>5</v>
      </c>
      <c r="K34" s="20"/>
      <c r="L34" s="13" t="s">
        <v>5</v>
      </c>
      <c r="M34" s="13" t="s">
        <v>5</v>
      </c>
      <c r="N34" s="13"/>
      <c r="O34" s="13" t="s">
        <v>5</v>
      </c>
      <c r="P34" s="13" t="s">
        <v>5</v>
      </c>
      <c r="Q34" s="13"/>
      <c r="R34" s="13" t="s">
        <v>5</v>
      </c>
      <c r="S34" s="13" t="s">
        <v>5</v>
      </c>
      <c r="T34" s="20"/>
      <c r="U34" s="13" t="s">
        <v>5</v>
      </c>
      <c r="V34" s="13"/>
      <c r="W34" s="20"/>
      <c r="X34" s="13"/>
      <c r="Y34" s="13"/>
      <c r="Z34" s="13"/>
      <c r="AA34" s="21"/>
      <c r="AB34" s="21"/>
      <c r="AC34" s="21"/>
      <c r="AD34" s="21"/>
      <c r="AE34" s="21"/>
      <c r="AF34" s="21"/>
      <c r="AG34" s="21"/>
    </row>
    <row r="35" spans="3:33" x14ac:dyDescent="0.35">
      <c r="C35" s="14">
        <f t="shared" si="32"/>
        <v>24</v>
      </c>
      <c r="D35" s="13" t="s">
        <v>5</v>
      </c>
      <c r="E35" s="20"/>
      <c r="F35" s="13" t="s">
        <v>5</v>
      </c>
      <c r="G35" s="13" t="s">
        <v>5</v>
      </c>
      <c r="H35" s="20"/>
      <c r="I35" s="13" t="s">
        <v>5</v>
      </c>
      <c r="J35" s="13" t="s">
        <v>5</v>
      </c>
      <c r="K35" s="20"/>
      <c r="L35" s="13" t="s">
        <v>5</v>
      </c>
      <c r="M35" s="13" t="s">
        <v>5</v>
      </c>
      <c r="N35" s="13"/>
      <c r="O35" s="13" t="s">
        <v>5</v>
      </c>
      <c r="P35" s="13" t="s">
        <v>5</v>
      </c>
      <c r="Q35" s="13"/>
      <c r="R35" s="13" t="s">
        <v>5</v>
      </c>
      <c r="S35" s="13" t="s">
        <v>5</v>
      </c>
      <c r="T35" s="20"/>
      <c r="U35" s="13" t="s">
        <v>5</v>
      </c>
      <c r="V35" s="13"/>
      <c r="W35" s="20"/>
      <c r="X35" s="13"/>
      <c r="Y35" s="13"/>
      <c r="Z35" s="13"/>
      <c r="AA35" s="21"/>
      <c r="AB35" s="21"/>
      <c r="AC35" s="21"/>
      <c r="AD35" s="21"/>
      <c r="AE35" s="21"/>
      <c r="AF35" s="21"/>
      <c r="AG35" s="21"/>
    </row>
    <row r="36" spans="3:33" x14ac:dyDescent="0.35">
      <c r="C36" s="14">
        <f t="shared" si="32"/>
        <v>25</v>
      </c>
      <c r="D36" s="13" t="s">
        <v>5</v>
      </c>
      <c r="E36" s="20"/>
      <c r="F36" s="13" t="s">
        <v>5</v>
      </c>
      <c r="G36" s="13" t="s">
        <v>5</v>
      </c>
      <c r="H36" s="20"/>
      <c r="I36" s="13" t="s">
        <v>5</v>
      </c>
      <c r="J36" s="13" t="s">
        <v>5</v>
      </c>
      <c r="K36" s="20"/>
      <c r="L36" s="13" t="s">
        <v>5</v>
      </c>
      <c r="M36" s="13" t="s">
        <v>5</v>
      </c>
      <c r="N36" s="13"/>
      <c r="O36" s="13" t="s">
        <v>5</v>
      </c>
      <c r="P36" s="13" t="s">
        <v>5</v>
      </c>
      <c r="Q36" s="13"/>
      <c r="R36" s="13" t="s">
        <v>5</v>
      </c>
      <c r="S36" s="13" t="s">
        <v>5</v>
      </c>
      <c r="T36" s="20"/>
      <c r="U36" s="13" t="s">
        <v>5</v>
      </c>
      <c r="V36" s="13"/>
      <c r="W36" s="20"/>
      <c r="X36" s="13"/>
      <c r="Y36" s="13"/>
      <c r="Z36" s="13"/>
      <c r="AA36" s="21"/>
      <c r="AB36" s="21"/>
      <c r="AC36" s="21"/>
      <c r="AD36" s="21"/>
      <c r="AE36" s="21"/>
      <c r="AF36" s="21"/>
      <c r="AG36" s="21"/>
    </row>
  </sheetData>
  <mergeCells count="1">
    <mergeCell ref="AV24:BC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>
      <selection activeCell="G1" sqref="G1:G1048576"/>
    </sheetView>
  </sheetViews>
  <sheetFormatPr defaultColWidth="10.90625" defaultRowHeight="14.5" x14ac:dyDescent="0.35"/>
  <cols>
    <col min="1" max="2" width="14.1796875" bestFit="1" customWidth="1"/>
    <col min="3" max="3" width="25.81640625" bestFit="1" customWidth="1"/>
    <col min="4" max="4" width="22" bestFit="1" customWidth="1"/>
    <col min="5" max="5" width="6" bestFit="1" customWidth="1"/>
    <col min="6" max="6" width="21.26953125" bestFit="1" customWidth="1"/>
    <col min="7" max="7" width="17.26953125" bestFit="1" customWidth="1"/>
  </cols>
  <sheetData>
    <row r="1" spans="1:7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2</v>
      </c>
      <c r="G1" s="3"/>
    </row>
    <row r="2" spans="1:7" x14ac:dyDescent="0.35">
      <c r="A2" t="s">
        <v>50</v>
      </c>
      <c r="B2" t="s">
        <v>13</v>
      </c>
      <c r="C2" t="s">
        <v>14</v>
      </c>
      <c r="D2" t="s">
        <v>15</v>
      </c>
      <c r="E2">
        <v>50</v>
      </c>
      <c r="F2">
        <v>5</v>
      </c>
    </row>
    <row r="3" spans="1:7" x14ac:dyDescent="0.35">
      <c r="A3" t="s">
        <v>45</v>
      </c>
      <c r="B3" t="s">
        <v>13</v>
      </c>
      <c r="C3" t="s">
        <v>14</v>
      </c>
      <c r="D3" t="s">
        <v>15</v>
      </c>
      <c r="E3">
        <v>27</v>
      </c>
      <c r="F3">
        <v>5</v>
      </c>
    </row>
    <row r="4" spans="1:7" x14ac:dyDescent="0.35">
      <c r="A4" t="s">
        <v>45</v>
      </c>
      <c r="B4" t="s">
        <v>16</v>
      </c>
      <c r="C4" t="s">
        <v>14</v>
      </c>
      <c r="D4" t="s">
        <v>15</v>
      </c>
      <c r="E4">
        <v>120</v>
      </c>
      <c r="F4">
        <v>5</v>
      </c>
    </row>
    <row r="5" spans="1:7" x14ac:dyDescent="0.35">
      <c r="A5" t="s">
        <v>17</v>
      </c>
      <c r="B5" t="s">
        <v>51</v>
      </c>
      <c r="C5" t="s">
        <v>14</v>
      </c>
      <c r="D5" t="s">
        <v>15</v>
      </c>
      <c r="E5">
        <v>120</v>
      </c>
      <c r="F5">
        <v>5</v>
      </c>
    </row>
    <row r="6" spans="1:7" x14ac:dyDescent="0.35">
      <c r="A6" t="s">
        <v>18</v>
      </c>
      <c r="B6" t="s">
        <v>51</v>
      </c>
      <c r="C6" t="s">
        <v>14</v>
      </c>
      <c r="D6" t="s">
        <v>15</v>
      </c>
      <c r="E6">
        <v>50</v>
      </c>
      <c r="F6">
        <v>5</v>
      </c>
    </row>
    <row r="7" spans="1:7" x14ac:dyDescent="0.35">
      <c r="A7" t="s">
        <v>45</v>
      </c>
      <c r="B7" t="s">
        <v>51</v>
      </c>
      <c r="C7" t="s">
        <v>14</v>
      </c>
      <c r="D7" t="s">
        <v>15</v>
      </c>
      <c r="E7">
        <v>27</v>
      </c>
      <c r="F7">
        <v>5</v>
      </c>
    </row>
    <row r="8" spans="1:7" x14ac:dyDescent="0.35">
      <c r="A8" t="s">
        <v>18</v>
      </c>
      <c r="B8" t="s">
        <v>46</v>
      </c>
      <c r="C8" t="s">
        <v>14</v>
      </c>
      <c r="D8" t="s">
        <v>15</v>
      </c>
      <c r="E8">
        <v>27</v>
      </c>
      <c r="F8">
        <v>5</v>
      </c>
    </row>
    <row r="9" spans="1:7" x14ac:dyDescent="0.35">
      <c r="A9" t="s">
        <v>50</v>
      </c>
      <c r="B9" t="s">
        <v>46</v>
      </c>
      <c r="C9" t="s">
        <v>14</v>
      </c>
      <c r="D9" t="s">
        <v>15</v>
      </c>
      <c r="E9">
        <v>27</v>
      </c>
      <c r="F9">
        <v>5</v>
      </c>
    </row>
    <row r="10" spans="1:7" x14ac:dyDescent="0.35">
      <c r="A10" t="s">
        <v>13</v>
      </c>
      <c r="B10" t="s">
        <v>13</v>
      </c>
      <c r="C10" t="s">
        <v>19</v>
      </c>
      <c r="D10" t="s">
        <v>15</v>
      </c>
      <c r="E10">
        <v>1</v>
      </c>
      <c r="F10">
        <v>5</v>
      </c>
    </row>
    <row r="11" spans="1:7" x14ac:dyDescent="0.35">
      <c r="A11" t="s">
        <v>18</v>
      </c>
      <c r="B11" t="s">
        <v>18</v>
      </c>
      <c r="C11" t="s">
        <v>19</v>
      </c>
      <c r="D11" t="s">
        <v>15</v>
      </c>
      <c r="E11">
        <v>1</v>
      </c>
      <c r="F11">
        <v>5</v>
      </c>
    </row>
    <row r="12" spans="1:7" x14ac:dyDescent="0.35">
      <c r="A12" t="s">
        <v>51</v>
      </c>
      <c r="B12" t="s">
        <v>51</v>
      </c>
      <c r="C12" t="s">
        <v>19</v>
      </c>
      <c r="D12" t="s">
        <v>15</v>
      </c>
      <c r="E12">
        <v>1</v>
      </c>
      <c r="F12">
        <v>5</v>
      </c>
    </row>
    <row r="13" spans="1:7" x14ac:dyDescent="0.35">
      <c r="A13" t="s">
        <v>50</v>
      </c>
      <c r="B13" t="s">
        <v>50</v>
      </c>
      <c r="C13" t="s">
        <v>19</v>
      </c>
      <c r="D13" t="s">
        <v>15</v>
      </c>
      <c r="E13">
        <v>1</v>
      </c>
      <c r="F13">
        <v>5</v>
      </c>
    </row>
    <row r="14" spans="1:7" x14ac:dyDescent="0.35">
      <c r="A14" t="s">
        <v>46</v>
      </c>
      <c r="B14" t="s">
        <v>46</v>
      </c>
      <c r="C14" t="s">
        <v>19</v>
      </c>
      <c r="D14" t="s">
        <v>15</v>
      </c>
      <c r="E14">
        <v>5</v>
      </c>
      <c r="F14">
        <v>3</v>
      </c>
    </row>
    <row r="15" spans="1:7" x14ac:dyDescent="0.35">
      <c r="A15" t="s">
        <v>45</v>
      </c>
      <c r="B15" t="s">
        <v>45</v>
      </c>
      <c r="C15" t="s">
        <v>19</v>
      </c>
      <c r="D15" t="s">
        <v>15</v>
      </c>
      <c r="E15">
        <v>5</v>
      </c>
      <c r="F15">
        <v>3</v>
      </c>
    </row>
    <row r="16" spans="1:7" x14ac:dyDescent="0.35">
      <c r="A16" t="s">
        <v>17</v>
      </c>
      <c r="B16" t="s">
        <v>17</v>
      </c>
      <c r="C16" t="s">
        <v>20</v>
      </c>
      <c r="D16" t="s">
        <v>15</v>
      </c>
      <c r="E16">
        <v>180</v>
      </c>
      <c r="F16" s="4">
        <v>3</v>
      </c>
    </row>
    <row r="17" spans="1:6" x14ac:dyDescent="0.35">
      <c r="A17" t="s">
        <v>16</v>
      </c>
      <c r="B17" t="s">
        <v>16</v>
      </c>
      <c r="C17" t="s">
        <v>21</v>
      </c>
      <c r="D17" t="s">
        <v>15</v>
      </c>
      <c r="E17">
        <v>180</v>
      </c>
      <c r="F17" s="4">
        <v>1</v>
      </c>
    </row>
    <row r="18" spans="1:6" x14ac:dyDescent="0.35">
      <c r="A18" t="s">
        <v>47</v>
      </c>
      <c r="B18" t="s">
        <v>47</v>
      </c>
      <c r="C18" t="s">
        <v>20</v>
      </c>
      <c r="D18" t="s">
        <v>15</v>
      </c>
      <c r="E18">
        <v>10</v>
      </c>
      <c r="F18" s="4">
        <v>5</v>
      </c>
    </row>
    <row r="19" spans="1:6" x14ac:dyDescent="0.35">
      <c r="A19" t="s">
        <v>47</v>
      </c>
      <c r="B19" t="s">
        <v>47</v>
      </c>
      <c r="C19" t="s">
        <v>21</v>
      </c>
      <c r="D19" t="s">
        <v>15</v>
      </c>
      <c r="E19">
        <v>10</v>
      </c>
      <c r="F19" s="4">
        <v>1</v>
      </c>
    </row>
    <row r="20" spans="1:6" x14ac:dyDescent="0.35">
      <c r="A20" t="s">
        <v>32</v>
      </c>
      <c r="B20" t="s">
        <v>32</v>
      </c>
      <c r="C20" t="s">
        <v>20</v>
      </c>
      <c r="D20" t="s">
        <v>15</v>
      </c>
      <c r="E20">
        <v>10</v>
      </c>
      <c r="F20" s="4">
        <v>5</v>
      </c>
    </row>
    <row r="21" spans="1:6" x14ac:dyDescent="0.35">
      <c r="A21" t="s">
        <v>32</v>
      </c>
      <c r="B21" t="s">
        <v>32</v>
      </c>
      <c r="C21" t="s">
        <v>21</v>
      </c>
      <c r="D21" t="s">
        <v>15</v>
      </c>
      <c r="E21">
        <v>10</v>
      </c>
      <c r="F21" s="4">
        <v>1</v>
      </c>
    </row>
    <row r="22" spans="1:6" x14ac:dyDescent="0.35">
      <c r="A22" t="s">
        <v>22</v>
      </c>
      <c r="B22" t="s">
        <v>22</v>
      </c>
      <c r="C22" t="s">
        <v>23</v>
      </c>
      <c r="D22" t="s">
        <v>15</v>
      </c>
      <c r="E22">
        <v>1</v>
      </c>
      <c r="F22" s="4">
        <v>5</v>
      </c>
    </row>
    <row r="23" spans="1:6" x14ac:dyDescent="0.35">
      <c r="A23" t="s">
        <v>32</v>
      </c>
      <c r="B23" t="s">
        <v>32</v>
      </c>
      <c r="C23" t="s">
        <v>23</v>
      </c>
      <c r="D23" t="s">
        <v>15</v>
      </c>
      <c r="E23">
        <v>2</v>
      </c>
      <c r="F23" s="4">
        <v>5</v>
      </c>
    </row>
    <row r="24" spans="1:6" x14ac:dyDescent="0.35">
      <c r="A24" t="s">
        <v>47</v>
      </c>
      <c r="B24" t="s">
        <v>47</v>
      </c>
      <c r="C24" t="s">
        <v>23</v>
      </c>
      <c r="D24" t="s">
        <v>15</v>
      </c>
      <c r="E24">
        <v>2</v>
      </c>
      <c r="F24" s="4">
        <v>5</v>
      </c>
    </row>
    <row r="25" spans="1:6" x14ac:dyDescent="0.35">
      <c r="A25" t="s">
        <v>22</v>
      </c>
      <c r="B25" t="s">
        <v>22</v>
      </c>
      <c r="C25" t="s">
        <v>24</v>
      </c>
      <c r="D25" t="s">
        <v>15</v>
      </c>
      <c r="E25">
        <v>1</v>
      </c>
      <c r="F25" s="4">
        <v>1</v>
      </c>
    </row>
    <row r="26" spans="1:6" x14ac:dyDescent="0.35">
      <c r="A26" t="s">
        <v>32</v>
      </c>
      <c r="B26" t="s">
        <v>32</v>
      </c>
      <c r="C26" t="s">
        <v>24</v>
      </c>
      <c r="D26" t="s">
        <v>15</v>
      </c>
      <c r="E26">
        <v>2</v>
      </c>
      <c r="F26" s="4">
        <v>1</v>
      </c>
    </row>
    <row r="27" spans="1:6" x14ac:dyDescent="0.35">
      <c r="A27" t="s">
        <v>47</v>
      </c>
      <c r="B27" t="s">
        <v>47</v>
      </c>
      <c r="C27" t="s">
        <v>24</v>
      </c>
      <c r="D27" t="s">
        <v>15</v>
      </c>
      <c r="E27">
        <v>2</v>
      </c>
      <c r="F27" s="4">
        <v>1</v>
      </c>
    </row>
    <row r="28" spans="1:6" x14ac:dyDescent="0.35">
      <c r="A28" t="s">
        <v>32</v>
      </c>
      <c r="B28" t="s">
        <v>32</v>
      </c>
      <c r="C28" t="s">
        <v>48</v>
      </c>
      <c r="D28" t="s">
        <v>15</v>
      </c>
      <c r="E28">
        <v>22</v>
      </c>
      <c r="F28" s="4">
        <v>3</v>
      </c>
    </row>
    <row r="29" spans="1:6" x14ac:dyDescent="0.35">
      <c r="A29" t="s">
        <v>47</v>
      </c>
      <c r="B29" t="s">
        <v>47</v>
      </c>
      <c r="C29" t="s">
        <v>48</v>
      </c>
      <c r="D29" t="s">
        <v>15</v>
      </c>
      <c r="E29">
        <v>22</v>
      </c>
      <c r="F29" s="4">
        <v>3</v>
      </c>
    </row>
    <row r="30" spans="1:6" x14ac:dyDescent="0.35">
      <c r="A30" t="s">
        <v>32</v>
      </c>
      <c r="B30" t="s">
        <v>32</v>
      </c>
      <c r="C30" t="s">
        <v>49</v>
      </c>
      <c r="D30" t="s">
        <v>15</v>
      </c>
      <c r="E30">
        <v>22</v>
      </c>
      <c r="F30" s="4">
        <v>1</v>
      </c>
    </row>
    <row r="31" spans="1:6" x14ac:dyDescent="0.35">
      <c r="A31" t="s">
        <v>47</v>
      </c>
      <c r="B31" t="s">
        <v>47</v>
      </c>
      <c r="C31" t="s">
        <v>49</v>
      </c>
      <c r="D31" t="s">
        <v>15</v>
      </c>
      <c r="E31">
        <v>22</v>
      </c>
      <c r="F31" s="4">
        <v>1</v>
      </c>
    </row>
    <row r="32" spans="1:6" x14ac:dyDescent="0.35">
      <c r="A32" t="s">
        <v>22</v>
      </c>
      <c r="B32" t="s">
        <v>22</v>
      </c>
      <c r="C32" t="s">
        <v>60</v>
      </c>
      <c r="D32" t="s">
        <v>15</v>
      </c>
      <c r="E32">
        <v>1</v>
      </c>
      <c r="F32">
        <v>5</v>
      </c>
    </row>
    <row r="33" spans="1:6" x14ac:dyDescent="0.35">
      <c r="A33" t="s">
        <v>13</v>
      </c>
      <c r="B33" t="s">
        <v>22</v>
      </c>
      <c r="C33" t="s">
        <v>60</v>
      </c>
      <c r="D33" t="s">
        <v>15</v>
      </c>
      <c r="E33">
        <v>1</v>
      </c>
      <c r="F33">
        <v>5</v>
      </c>
    </row>
    <row r="34" spans="1:6" x14ac:dyDescent="0.35">
      <c r="A34" t="s">
        <v>22</v>
      </c>
      <c r="B34" t="s">
        <v>18</v>
      </c>
      <c r="C34" t="s">
        <v>60</v>
      </c>
      <c r="D34" t="s">
        <v>15</v>
      </c>
      <c r="E34">
        <v>1</v>
      </c>
      <c r="F34">
        <v>5</v>
      </c>
    </row>
    <row r="35" spans="1:6" x14ac:dyDescent="0.35">
      <c r="A35" t="s">
        <v>32</v>
      </c>
      <c r="B35" t="s">
        <v>32</v>
      </c>
      <c r="C35" t="s">
        <v>60</v>
      </c>
      <c r="D35" t="s">
        <v>15</v>
      </c>
      <c r="E35">
        <v>10</v>
      </c>
      <c r="F35">
        <v>5</v>
      </c>
    </row>
    <row r="36" spans="1:6" x14ac:dyDescent="0.35">
      <c r="A36" t="s">
        <v>51</v>
      </c>
      <c r="B36" t="s">
        <v>32</v>
      </c>
      <c r="C36" t="s">
        <v>60</v>
      </c>
      <c r="D36" t="s">
        <v>15</v>
      </c>
      <c r="E36">
        <v>1</v>
      </c>
      <c r="F36">
        <v>5</v>
      </c>
    </row>
    <row r="37" spans="1:6" x14ac:dyDescent="0.35">
      <c r="A37" t="s">
        <v>32</v>
      </c>
      <c r="B37" t="s">
        <v>50</v>
      </c>
      <c r="C37" t="s">
        <v>60</v>
      </c>
      <c r="D37" t="s">
        <v>15</v>
      </c>
      <c r="E37">
        <v>1</v>
      </c>
      <c r="F37">
        <v>5</v>
      </c>
    </row>
    <row r="38" spans="1:6" x14ac:dyDescent="0.35">
      <c r="A38" t="s">
        <v>47</v>
      </c>
      <c r="B38" t="s">
        <v>47</v>
      </c>
      <c r="C38" t="s">
        <v>60</v>
      </c>
      <c r="D38" t="s">
        <v>15</v>
      </c>
      <c r="E38">
        <v>20</v>
      </c>
      <c r="F38">
        <v>5</v>
      </c>
    </row>
    <row r="39" spans="1:6" x14ac:dyDescent="0.35">
      <c r="A39" t="s">
        <v>46</v>
      </c>
      <c r="B39" t="s">
        <v>47</v>
      </c>
      <c r="C39" t="s">
        <v>60</v>
      </c>
      <c r="D39" t="s">
        <v>15</v>
      </c>
      <c r="E39">
        <v>20</v>
      </c>
      <c r="F39">
        <v>5</v>
      </c>
    </row>
    <row r="40" spans="1:6" x14ac:dyDescent="0.35">
      <c r="A40" t="s">
        <v>47</v>
      </c>
      <c r="B40" t="s">
        <v>45</v>
      </c>
      <c r="C40" t="s">
        <v>60</v>
      </c>
      <c r="D40" t="s">
        <v>15</v>
      </c>
      <c r="E40">
        <v>20</v>
      </c>
      <c r="F40">
        <v>5</v>
      </c>
    </row>
    <row r="41" spans="1:6" x14ac:dyDescent="0.35">
      <c r="A41" t="s">
        <v>22</v>
      </c>
      <c r="B41" t="s">
        <v>22</v>
      </c>
      <c r="C41" t="s">
        <v>25</v>
      </c>
      <c r="D41" t="s">
        <v>61</v>
      </c>
      <c r="E41">
        <v>30</v>
      </c>
      <c r="F41">
        <v>5</v>
      </c>
    </row>
    <row r="42" spans="1:6" x14ac:dyDescent="0.35">
      <c r="A42" t="s">
        <v>13</v>
      </c>
      <c r="B42" t="s">
        <v>22</v>
      </c>
      <c r="C42" t="s">
        <v>25</v>
      </c>
      <c r="D42" t="s">
        <v>61</v>
      </c>
      <c r="E42">
        <v>30</v>
      </c>
      <c r="F42">
        <v>5</v>
      </c>
    </row>
    <row r="43" spans="1:6" x14ac:dyDescent="0.35">
      <c r="A43" t="s">
        <v>22</v>
      </c>
      <c r="B43" t="s">
        <v>18</v>
      </c>
      <c r="C43" t="s">
        <v>25</v>
      </c>
      <c r="D43" t="s">
        <v>61</v>
      </c>
      <c r="E43">
        <v>30</v>
      </c>
      <c r="F43">
        <v>5</v>
      </c>
    </row>
    <row r="44" spans="1:6" x14ac:dyDescent="0.35">
      <c r="A44" t="s">
        <v>32</v>
      </c>
      <c r="B44" t="s">
        <v>32</v>
      </c>
      <c r="C44" t="s">
        <v>25</v>
      </c>
      <c r="D44" t="s">
        <v>61</v>
      </c>
      <c r="E44">
        <v>30</v>
      </c>
      <c r="F44">
        <v>5</v>
      </c>
    </row>
    <row r="45" spans="1:6" x14ac:dyDescent="0.35">
      <c r="A45" t="s">
        <v>51</v>
      </c>
      <c r="B45" t="s">
        <v>32</v>
      </c>
      <c r="C45" t="s">
        <v>25</v>
      </c>
      <c r="D45" t="s">
        <v>61</v>
      </c>
      <c r="E45">
        <v>30</v>
      </c>
      <c r="F45">
        <v>5</v>
      </c>
    </row>
    <row r="46" spans="1:6" x14ac:dyDescent="0.35">
      <c r="A46" t="s">
        <v>32</v>
      </c>
      <c r="B46" t="s">
        <v>50</v>
      </c>
      <c r="C46" t="s">
        <v>25</v>
      </c>
      <c r="D46" t="s">
        <v>61</v>
      </c>
      <c r="E46">
        <v>30</v>
      </c>
      <c r="F46">
        <v>5</v>
      </c>
    </row>
    <row r="47" spans="1:6" x14ac:dyDescent="0.35">
      <c r="A47" t="s">
        <v>47</v>
      </c>
      <c r="B47" t="s">
        <v>47</v>
      </c>
      <c r="C47" t="s">
        <v>25</v>
      </c>
      <c r="D47" t="s">
        <v>61</v>
      </c>
      <c r="E47">
        <v>30</v>
      </c>
      <c r="F47">
        <v>5</v>
      </c>
    </row>
    <row r="48" spans="1:6" x14ac:dyDescent="0.35">
      <c r="A48" t="s">
        <v>46</v>
      </c>
      <c r="B48" t="s">
        <v>47</v>
      </c>
      <c r="C48" t="s">
        <v>25</v>
      </c>
      <c r="D48" t="s">
        <v>61</v>
      </c>
      <c r="E48">
        <v>30</v>
      </c>
      <c r="F48">
        <v>5</v>
      </c>
    </row>
    <row r="49" spans="1:6" x14ac:dyDescent="0.35">
      <c r="A49" t="s">
        <v>47</v>
      </c>
      <c r="B49" t="s">
        <v>45</v>
      </c>
      <c r="C49" t="s">
        <v>25</v>
      </c>
      <c r="D49" t="s">
        <v>61</v>
      </c>
      <c r="E49">
        <v>30</v>
      </c>
      <c r="F49">
        <v>5</v>
      </c>
    </row>
  </sheetData>
  <conditionalFormatting sqref="F2:F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1:F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Kiel</vt:lpstr>
      <vt:lpstr>times_default</vt:lpstr>
    </vt:vector>
  </TitlesOfParts>
  <Company>CAU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Heinold</dc:creator>
  <cp:lastModifiedBy>Heinold, Arne</cp:lastModifiedBy>
  <cp:lastPrinted>2024-03-07T09:18:12Z</cp:lastPrinted>
  <dcterms:created xsi:type="dcterms:W3CDTF">2023-02-06T10:38:10Z</dcterms:created>
  <dcterms:modified xsi:type="dcterms:W3CDTF">2026-04-25T05:05:25Z</dcterms:modified>
</cp:coreProperties>
</file>